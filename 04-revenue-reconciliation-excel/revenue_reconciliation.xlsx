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Extract" sheetId="1" state="visible" r:id="rId1"/>
    <sheet xmlns:r="http://schemas.openxmlformats.org/officeDocument/2006/relationships" name="ERP_Extract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Reconciliation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'Summary'!$D$4:$D$7</f>
            </numRef>
          </cat>
          <val>
            <numRef>
              <f>'Summary'!$E$4:$E$7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Invoice ID</t>
        </is>
      </c>
      <c r="B1" s="1" t="inlineStr">
        <is>
          <t>Customer</t>
        </is>
      </c>
      <c r="C1" s="1" t="inlineStr">
        <is>
          <t>Invoice Date</t>
        </is>
      </c>
      <c r="D1" s="1" t="inlineStr">
        <is>
          <t>Billing Amount</t>
        </is>
      </c>
    </row>
    <row r="2">
      <c r="A2" t="inlineStr">
        <is>
          <t>INV-00001</t>
        </is>
      </c>
      <c r="B2" t="inlineStr">
        <is>
          <t>Customer 27</t>
        </is>
      </c>
      <c r="C2" t="inlineStr">
        <is>
          <t>2026-08-06</t>
        </is>
      </c>
      <c r="D2" t="n">
        <v>12788.74</v>
      </c>
    </row>
    <row r="3">
      <c r="A3" t="inlineStr">
        <is>
          <t>INV-00002</t>
        </is>
      </c>
      <c r="B3" t="inlineStr">
        <is>
          <t>Customer 14</t>
        </is>
      </c>
      <c r="C3" t="inlineStr">
        <is>
          <t>2026-08-30</t>
        </is>
      </c>
      <c r="D3" t="n">
        <v>36192.99</v>
      </c>
    </row>
    <row r="4">
      <c r="A4" t="inlineStr">
        <is>
          <t>INV-00003</t>
        </is>
      </c>
      <c r="B4" t="inlineStr">
        <is>
          <t>Customer 33</t>
        </is>
      </c>
      <c r="C4" t="inlineStr">
        <is>
          <t>2026-07-24</t>
        </is>
      </c>
      <c r="D4" t="n">
        <v>60685.15</v>
      </c>
    </row>
    <row r="5">
      <c r="A5" t="inlineStr">
        <is>
          <t>INV-00004</t>
        </is>
      </c>
      <c r="B5" t="inlineStr">
        <is>
          <t>Customer 16</t>
        </is>
      </c>
      <c r="C5" t="inlineStr">
        <is>
          <t>2026-07-01</t>
        </is>
      </c>
      <c r="D5" t="n">
        <v>38128.77</v>
      </c>
    </row>
    <row r="6">
      <c r="A6" t="inlineStr">
        <is>
          <t>INV-00005</t>
        </is>
      </c>
      <c r="B6" t="inlineStr">
        <is>
          <t>Customer 38</t>
        </is>
      </c>
      <c r="C6" t="inlineStr">
        <is>
          <t>2026-08-24</t>
        </is>
      </c>
      <c r="D6" t="n">
        <v>1552.04</v>
      </c>
    </row>
    <row r="7">
      <c r="A7" t="inlineStr">
        <is>
          <t>INV-00006</t>
        </is>
      </c>
      <c r="B7" t="inlineStr">
        <is>
          <t>Customer 15</t>
        </is>
      </c>
      <c r="C7" t="inlineStr">
        <is>
          <t>2026-07-30</t>
        </is>
      </c>
      <c r="D7" t="n">
        <v>5660.22</v>
      </c>
    </row>
    <row r="8">
      <c r="A8" t="inlineStr">
        <is>
          <t>INV-00007</t>
        </is>
      </c>
      <c r="B8" t="inlineStr">
        <is>
          <t>Customer 28</t>
        </is>
      </c>
      <c r="C8" t="inlineStr">
        <is>
          <t>2026-08-22</t>
        </is>
      </c>
      <c r="D8" t="n">
        <v>52196.93</v>
      </c>
    </row>
    <row r="9">
      <c r="A9" t="inlineStr">
        <is>
          <t>INV-00008</t>
        </is>
      </c>
      <c r="B9" t="inlineStr">
        <is>
          <t>Customer 03</t>
        </is>
      </c>
      <c r="C9" t="inlineStr">
        <is>
          <t>2026-08-12</t>
        </is>
      </c>
      <c r="D9" t="n">
        <v>46383.81</v>
      </c>
    </row>
    <row r="10">
      <c r="A10" t="inlineStr">
        <is>
          <t>INV-00009</t>
        </is>
      </c>
      <c r="B10" t="inlineStr">
        <is>
          <t>Customer 08</t>
        </is>
      </c>
      <c r="C10" t="inlineStr">
        <is>
          <t>2026-08-17</t>
        </is>
      </c>
      <c r="D10" t="n">
        <v>40741.13</v>
      </c>
    </row>
    <row r="11">
      <c r="A11" t="inlineStr">
        <is>
          <t>INV-00010</t>
        </is>
      </c>
      <c r="B11" t="inlineStr">
        <is>
          <t>Customer 06</t>
        </is>
      </c>
      <c r="C11" t="inlineStr">
        <is>
          <t>2026-07-16</t>
        </is>
      </c>
      <c r="D11" t="n">
        <v>2230.2</v>
      </c>
    </row>
    <row r="12">
      <c r="A12" t="inlineStr">
        <is>
          <t>INV-00011</t>
        </is>
      </c>
      <c r="B12" t="inlineStr">
        <is>
          <t>Customer 02</t>
        </is>
      </c>
      <c r="C12" t="inlineStr">
        <is>
          <t>2026-08-28</t>
        </is>
      </c>
      <c r="D12" t="n">
        <v>60741.66</v>
      </c>
    </row>
    <row r="13">
      <c r="A13" t="inlineStr">
        <is>
          <t>INV-00012</t>
        </is>
      </c>
      <c r="B13" t="inlineStr">
        <is>
          <t>Customer 22</t>
        </is>
      </c>
      <c r="C13" t="inlineStr">
        <is>
          <t>2026-08-21</t>
        </is>
      </c>
      <c r="D13" t="n">
        <v>12501.85</v>
      </c>
    </row>
    <row r="14">
      <c r="A14" t="inlineStr">
        <is>
          <t>INV-00013</t>
        </is>
      </c>
      <c r="B14" t="inlineStr">
        <is>
          <t>Customer 12</t>
        </is>
      </c>
      <c r="C14" t="inlineStr">
        <is>
          <t>2026-07-05</t>
        </is>
      </c>
      <c r="D14" t="n">
        <v>36610.42</v>
      </c>
    </row>
    <row r="15">
      <c r="A15" t="inlineStr">
        <is>
          <t>INV-00014</t>
        </is>
      </c>
      <c r="B15" t="inlineStr">
        <is>
          <t>Customer 16</t>
        </is>
      </c>
      <c r="C15" t="inlineStr">
        <is>
          <t>2026-07-10</t>
        </is>
      </c>
      <c r="D15" t="n">
        <v>35510.68</v>
      </c>
    </row>
    <row r="16">
      <c r="A16" t="inlineStr">
        <is>
          <t>INV-00015</t>
        </is>
      </c>
      <c r="B16" t="inlineStr">
        <is>
          <t>Customer 14</t>
        </is>
      </c>
      <c r="C16" t="inlineStr">
        <is>
          <t>2026-09-13</t>
        </is>
      </c>
      <c r="D16" t="n">
        <v>58629.32</v>
      </c>
    </row>
    <row r="17">
      <c r="A17" t="inlineStr">
        <is>
          <t>INV-00016</t>
        </is>
      </c>
      <c r="B17" t="inlineStr">
        <is>
          <t>Customer 05</t>
        </is>
      </c>
      <c r="C17" t="inlineStr">
        <is>
          <t>2026-07-16</t>
        </is>
      </c>
      <c r="D17" t="n">
        <v>74167.03</v>
      </c>
    </row>
    <row r="18">
      <c r="A18" t="inlineStr">
        <is>
          <t>INV-00017</t>
        </is>
      </c>
      <c r="B18" t="inlineStr">
        <is>
          <t>Customer 36</t>
        </is>
      </c>
      <c r="C18" t="inlineStr">
        <is>
          <t>2026-08-19</t>
        </is>
      </c>
      <c r="D18" t="n">
        <v>42229.16</v>
      </c>
    </row>
    <row r="19">
      <c r="A19" t="inlineStr">
        <is>
          <t>INV-00018</t>
        </is>
      </c>
      <c r="B19" t="inlineStr">
        <is>
          <t>Customer 10</t>
        </is>
      </c>
      <c r="C19" t="inlineStr">
        <is>
          <t>2026-09-07</t>
        </is>
      </c>
      <c r="D19" t="n">
        <v>15480.42</v>
      </c>
    </row>
    <row r="20">
      <c r="A20" t="inlineStr">
        <is>
          <t>INV-00019</t>
        </is>
      </c>
      <c r="B20" t="inlineStr">
        <is>
          <t>Customer 24</t>
        </is>
      </c>
      <c r="C20" t="inlineStr">
        <is>
          <t>2026-08-27</t>
        </is>
      </c>
      <c r="D20" t="n">
        <v>31015.33</v>
      </c>
    </row>
    <row r="21">
      <c r="A21" t="inlineStr">
        <is>
          <t>INV-00020</t>
        </is>
      </c>
      <c r="B21" t="inlineStr">
        <is>
          <t>Customer 21</t>
        </is>
      </c>
      <c r="C21" t="inlineStr">
        <is>
          <t>2026-09-01</t>
        </is>
      </c>
      <c r="D21" t="n">
        <v>37857.21</v>
      </c>
    </row>
    <row r="22">
      <c r="A22" t="inlineStr">
        <is>
          <t>INV-00021</t>
        </is>
      </c>
      <c r="B22" t="inlineStr">
        <is>
          <t>Customer 02</t>
        </is>
      </c>
      <c r="C22" t="inlineStr">
        <is>
          <t>2026-07-12</t>
        </is>
      </c>
      <c r="D22" t="n">
        <v>29301.2</v>
      </c>
    </row>
    <row r="23">
      <c r="A23" t="inlineStr">
        <is>
          <t>INV-00022</t>
        </is>
      </c>
      <c r="B23" t="inlineStr">
        <is>
          <t>Customer 32</t>
        </is>
      </c>
      <c r="C23" t="inlineStr">
        <is>
          <t>2026-07-01</t>
        </is>
      </c>
      <c r="D23" t="n">
        <v>12341.31</v>
      </c>
    </row>
    <row r="24">
      <c r="A24" t="inlineStr">
        <is>
          <t>INV-00023</t>
        </is>
      </c>
      <c r="B24" t="inlineStr">
        <is>
          <t>Customer 36</t>
        </is>
      </c>
      <c r="C24" t="inlineStr">
        <is>
          <t>2026-09-15</t>
        </is>
      </c>
      <c r="D24" t="n">
        <v>37119.7</v>
      </c>
    </row>
    <row r="25">
      <c r="A25" t="inlineStr">
        <is>
          <t>INV-00024</t>
        </is>
      </c>
      <c r="B25" t="inlineStr">
        <is>
          <t>Customer 15</t>
        </is>
      </c>
      <c r="C25" t="inlineStr">
        <is>
          <t>2026-09-12</t>
        </is>
      </c>
      <c r="D25" t="n">
        <v>56239.11</v>
      </c>
    </row>
    <row r="26">
      <c r="A26" t="inlineStr">
        <is>
          <t>INV-00025</t>
        </is>
      </c>
      <c r="B26" t="inlineStr">
        <is>
          <t>Customer 36</t>
        </is>
      </c>
      <c r="C26" t="inlineStr">
        <is>
          <t>2026-09-18</t>
        </is>
      </c>
      <c r="D26" t="n">
        <v>45863.15</v>
      </c>
    </row>
    <row r="27">
      <c r="A27" t="inlineStr">
        <is>
          <t>INV-00026</t>
        </is>
      </c>
      <c r="B27" t="inlineStr">
        <is>
          <t>Customer 11</t>
        </is>
      </c>
      <c r="C27" t="inlineStr">
        <is>
          <t>2026-09-19</t>
        </is>
      </c>
      <c r="D27" t="n">
        <v>8896.870000000001</v>
      </c>
    </row>
    <row r="28">
      <c r="A28" t="inlineStr">
        <is>
          <t>INV-00027</t>
        </is>
      </c>
      <c r="B28" t="inlineStr">
        <is>
          <t>Customer 22</t>
        </is>
      </c>
      <c r="C28" t="inlineStr">
        <is>
          <t>2026-08-14</t>
        </is>
      </c>
      <c r="D28" t="n">
        <v>26441.44</v>
      </c>
    </row>
    <row r="29">
      <c r="A29" t="inlineStr">
        <is>
          <t>INV-00028</t>
        </is>
      </c>
      <c r="B29" t="inlineStr">
        <is>
          <t>Customer 20</t>
        </is>
      </c>
      <c r="C29" t="inlineStr">
        <is>
          <t>2026-08-01</t>
        </is>
      </c>
      <c r="D29" t="n">
        <v>57257.98</v>
      </c>
    </row>
    <row r="30">
      <c r="A30" t="inlineStr">
        <is>
          <t>INV-00029</t>
        </is>
      </c>
      <c r="B30" t="inlineStr">
        <is>
          <t>Customer 05</t>
        </is>
      </c>
      <c r="C30" t="inlineStr">
        <is>
          <t>2026-07-23</t>
        </is>
      </c>
      <c r="D30" t="n">
        <v>8193.860000000001</v>
      </c>
    </row>
    <row r="31">
      <c r="A31" t="inlineStr">
        <is>
          <t>INV-00030</t>
        </is>
      </c>
      <c r="B31" t="inlineStr">
        <is>
          <t>Customer 24</t>
        </is>
      </c>
      <c r="C31" t="inlineStr">
        <is>
          <t>2026-07-21</t>
        </is>
      </c>
      <c r="D31" t="n">
        <v>58387.88</v>
      </c>
    </row>
    <row r="32">
      <c r="A32" t="inlineStr">
        <is>
          <t>INV-00031</t>
        </is>
      </c>
      <c r="B32" t="inlineStr">
        <is>
          <t>Customer 34</t>
        </is>
      </c>
      <c r="C32" t="inlineStr">
        <is>
          <t>2026-07-31</t>
        </is>
      </c>
      <c r="D32" t="n">
        <v>51409.71</v>
      </c>
    </row>
    <row r="33">
      <c r="A33" t="inlineStr">
        <is>
          <t>INV-00032</t>
        </is>
      </c>
      <c r="B33" t="inlineStr">
        <is>
          <t>Customer 11</t>
        </is>
      </c>
      <c r="C33" t="inlineStr">
        <is>
          <t>2026-09-14</t>
        </is>
      </c>
      <c r="D33" t="n">
        <v>30822.59</v>
      </c>
    </row>
    <row r="34">
      <c r="A34" t="inlineStr">
        <is>
          <t>INV-00033</t>
        </is>
      </c>
      <c r="B34" t="inlineStr">
        <is>
          <t>Customer 23</t>
        </is>
      </c>
      <c r="C34" t="inlineStr">
        <is>
          <t>2026-09-01</t>
        </is>
      </c>
      <c r="D34" t="n">
        <v>1562.58</v>
      </c>
    </row>
    <row r="35">
      <c r="A35" t="inlineStr">
        <is>
          <t>INV-00034</t>
        </is>
      </c>
      <c r="B35" t="inlineStr">
        <is>
          <t>Customer 16</t>
        </is>
      </c>
      <c r="C35" t="inlineStr">
        <is>
          <t>2026-08-01</t>
        </is>
      </c>
      <c r="D35" t="n">
        <v>38206.98</v>
      </c>
    </row>
    <row r="36">
      <c r="A36" t="inlineStr">
        <is>
          <t>INV-00035</t>
        </is>
      </c>
      <c r="B36" t="inlineStr">
        <is>
          <t>Customer 05</t>
        </is>
      </c>
      <c r="C36" t="inlineStr">
        <is>
          <t>2026-08-26</t>
        </is>
      </c>
      <c r="D36" t="n">
        <v>12590.8</v>
      </c>
    </row>
    <row r="37">
      <c r="A37" t="inlineStr">
        <is>
          <t>INV-00036</t>
        </is>
      </c>
      <c r="B37" t="inlineStr">
        <is>
          <t>Customer 31</t>
        </is>
      </c>
      <c r="C37" t="inlineStr">
        <is>
          <t>2026-07-08</t>
        </is>
      </c>
      <c r="D37" t="n">
        <v>60493.49</v>
      </c>
    </row>
    <row r="38">
      <c r="A38" t="inlineStr">
        <is>
          <t>INV-00037</t>
        </is>
      </c>
      <c r="B38" t="inlineStr">
        <is>
          <t>Customer 04</t>
        </is>
      </c>
      <c r="C38" t="inlineStr">
        <is>
          <t>2026-08-03</t>
        </is>
      </c>
      <c r="D38" t="n">
        <v>62856.41</v>
      </c>
    </row>
    <row r="39">
      <c r="A39" t="inlineStr">
        <is>
          <t>INV-00038</t>
        </is>
      </c>
      <c r="B39" t="inlineStr">
        <is>
          <t>Customer 03</t>
        </is>
      </c>
      <c r="C39" t="inlineStr">
        <is>
          <t>2026-08-23</t>
        </is>
      </c>
      <c r="D39" t="n">
        <v>49552.76</v>
      </c>
    </row>
    <row r="40">
      <c r="A40" t="inlineStr">
        <is>
          <t>INV-00039</t>
        </is>
      </c>
      <c r="B40" t="inlineStr">
        <is>
          <t>Customer 26</t>
        </is>
      </c>
      <c r="C40" t="inlineStr">
        <is>
          <t>2026-07-09</t>
        </is>
      </c>
      <c r="D40" t="n">
        <v>19020.29</v>
      </c>
    </row>
    <row r="41">
      <c r="A41" t="inlineStr">
        <is>
          <t>INV-00040</t>
        </is>
      </c>
      <c r="B41" t="inlineStr">
        <is>
          <t>Customer 10</t>
        </is>
      </c>
      <c r="C41" t="inlineStr">
        <is>
          <t>2026-07-20</t>
        </is>
      </c>
      <c r="D41" t="n">
        <v>65343.73</v>
      </c>
    </row>
    <row r="42">
      <c r="A42" t="inlineStr">
        <is>
          <t>INV-00041</t>
        </is>
      </c>
      <c r="B42" t="inlineStr">
        <is>
          <t>Customer 31</t>
        </is>
      </c>
      <c r="C42" t="inlineStr">
        <is>
          <t>2026-07-07</t>
        </is>
      </c>
      <c r="D42" t="n">
        <v>56065.66</v>
      </c>
    </row>
    <row r="43">
      <c r="A43" t="inlineStr">
        <is>
          <t>INV-00042</t>
        </is>
      </c>
      <c r="B43" t="inlineStr">
        <is>
          <t>Customer 34</t>
        </is>
      </c>
      <c r="C43" t="inlineStr">
        <is>
          <t>2026-08-31</t>
        </is>
      </c>
      <c r="D43" t="n">
        <v>19290</v>
      </c>
    </row>
    <row r="44">
      <c r="A44" t="inlineStr">
        <is>
          <t>INV-00043</t>
        </is>
      </c>
      <c r="B44" t="inlineStr">
        <is>
          <t>Customer 14</t>
        </is>
      </c>
      <c r="C44" t="inlineStr">
        <is>
          <t>2026-08-16</t>
        </is>
      </c>
      <c r="D44" t="n">
        <v>2608.31</v>
      </c>
    </row>
    <row r="45">
      <c r="A45" t="inlineStr">
        <is>
          <t>INV-00044</t>
        </is>
      </c>
      <c r="B45" t="inlineStr">
        <is>
          <t>Customer 24</t>
        </is>
      </c>
      <c r="C45" t="inlineStr">
        <is>
          <t>2026-09-15</t>
        </is>
      </c>
      <c r="D45" t="n">
        <v>59743.76</v>
      </c>
    </row>
    <row r="46">
      <c r="A46" t="inlineStr">
        <is>
          <t>INV-00045</t>
        </is>
      </c>
      <c r="B46" t="inlineStr">
        <is>
          <t>Customer 32</t>
        </is>
      </c>
      <c r="C46" t="inlineStr">
        <is>
          <t>2026-09-13</t>
        </is>
      </c>
      <c r="D46" t="n">
        <v>58070.87</v>
      </c>
    </row>
    <row r="47">
      <c r="A47" t="inlineStr">
        <is>
          <t>INV-00046</t>
        </is>
      </c>
      <c r="B47" t="inlineStr">
        <is>
          <t>Customer 31</t>
        </is>
      </c>
      <c r="C47" t="inlineStr">
        <is>
          <t>2026-08-09</t>
        </is>
      </c>
      <c r="D47" t="n">
        <v>67742.86</v>
      </c>
    </row>
    <row r="48">
      <c r="A48" t="inlineStr">
        <is>
          <t>INV-00047</t>
        </is>
      </c>
      <c r="B48" t="inlineStr">
        <is>
          <t>Customer 38</t>
        </is>
      </c>
      <c r="C48" t="inlineStr">
        <is>
          <t>2026-08-05</t>
        </is>
      </c>
      <c r="D48" t="n">
        <v>10840.23</v>
      </c>
    </row>
    <row r="49">
      <c r="A49" t="inlineStr">
        <is>
          <t>INV-00048</t>
        </is>
      </c>
      <c r="B49" t="inlineStr">
        <is>
          <t>Customer 01</t>
        </is>
      </c>
      <c r="C49" t="inlineStr">
        <is>
          <t>2026-08-18</t>
        </is>
      </c>
      <c r="D49" t="n">
        <v>10878.65</v>
      </c>
    </row>
    <row r="50">
      <c r="A50" t="inlineStr">
        <is>
          <t>INV-00049</t>
        </is>
      </c>
      <c r="B50" t="inlineStr">
        <is>
          <t>Customer 02</t>
        </is>
      </c>
      <c r="C50" t="inlineStr">
        <is>
          <t>2026-08-03</t>
        </is>
      </c>
      <c r="D50" t="n">
        <v>51554.76</v>
      </c>
    </row>
    <row r="51">
      <c r="A51" t="inlineStr">
        <is>
          <t>INV-00050</t>
        </is>
      </c>
      <c r="B51" t="inlineStr">
        <is>
          <t>Customer 16</t>
        </is>
      </c>
      <c r="C51" t="inlineStr">
        <is>
          <t>2026-09-13</t>
        </is>
      </c>
      <c r="D51" t="n">
        <v>44729.65</v>
      </c>
    </row>
    <row r="52">
      <c r="A52" t="inlineStr">
        <is>
          <t>INV-00051</t>
        </is>
      </c>
      <c r="B52" t="inlineStr">
        <is>
          <t>Customer 26</t>
        </is>
      </c>
      <c r="C52" t="inlineStr">
        <is>
          <t>2026-07-18</t>
        </is>
      </c>
      <c r="D52" t="n">
        <v>31871.93</v>
      </c>
    </row>
    <row r="53">
      <c r="A53" t="inlineStr">
        <is>
          <t>INV-00052</t>
        </is>
      </c>
      <c r="B53" t="inlineStr">
        <is>
          <t>Customer 07</t>
        </is>
      </c>
      <c r="C53" t="inlineStr">
        <is>
          <t>2026-08-20</t>
        </is>
      </c>
      <c r="D53" t="n">
        <v>10448.56</v>
      </c>
    </row>
    <row r="54">
      <c r="A54" t="inlineStr">
        <is>
          <t>INV-00053</t>
        </is>
      </c>
      <c r="B54" t="inlineStr">
        <is>
          <t>Customer 02</t>
        </is>
      </c>
      <c r="C54" t="inlineStr">
        <is>
          <t>2026-08-27</t>
        </is>
      </c>
      <c r="D54" t="n">
        <v>7498.44</v>
      </c>
    </row>
    <row r="55">
      <c r="A55" t="inlineStr">
        <is>
          <t>INV-00054</t>
        </is>
      </c>
      <c r="B55" t="inlineStr">
        <is>
          <t>Customer 05</t>
        </is>
      </c>
      <c r="C55" t="inlineStr">
        <is>
          <t>2026-07-16</t>
        </is>
      </c>
      <c r="D55" t="n">
        <v>59067.81</v>
      </c>
    </row>
    <row r="56">
      <c r="A56" t="inlineStr">
        <is>
          <t>INV-00055</t>
        </is>
      </c>
      <c r="B56" t="inlineStr">
        <is>
          <t>Customer 09</t>
        </is>
      </c>
      <c r="C56" t="inlineStr">
        <is>
          <t>2026-08-08</t>
        </is>
      </c>
      <c r="D56" t="n">
        <v>49321.58</v>
      </c>
    </row>
    <row r="57">
      <c r="A57" t="inlineStr">
        <is>
          <t>INV-00056</t>
        </is>
      </c>
      <c r="B57" t="inlineStr">
        <is>
          <t>Customer 21</t>
        </is>
      </c>
      <c r="C57" t="inlineStr">
        <is>
          <t>2026-08-20</t>
        </is>
      </c>
      <c r="D57" t="n">
        <v>40630.07</v>
      </c>
    </row>
    <row r="58">
      <c r="A58" t="inlineStr">
        <is>
          <t>INV-00057</t>
        </is>
      </c>
      <c r="B58" t="inlineStr">
        <is>
          <t>Customer 15</t>
        </is>
      </c>
      <c r="C58" t="inlineStr">
        <is>
          <t>2026-09-18</t>
        </is>
      </c>
      <c r="D58" t="n">
        <v>37293.07</v>
      </c>
    </row>
    <row r="59">
      <c r="A59" t="inlineStr">
        <is>
          <t>INV-00058</t>
        </is>
      </c>
      <c r="B59" t="inlineStr">
        <is>
          <t>Customer 12</t>
        </is>
      </c>
      <c r="C59" t="inlineStr">
        <is>
          <t>2026-08-18</t>
        </is>
      </c>
      <c r="D59" t="n">
        <v>12872.99</v>
      </c>
    </row>
    <row r="60">
      <c r="A60" t="inlineStr">
        <is>
          <t>INV-00059</t>
        </is>
      </c>
      <c r="B60" t="inlineStr">
        <is>
          <t>Customer 36</t>
        </is>
      </c>
      <c r="C60" t="inlineStr">
        <is>
          <t>2026-07-06</t>
        </is>
      </c>
      <c r="D60" t="n">
        <v>15520.76</v>
      </c>
    </row>
    <row r="61">
      <c r="A61" t="inlineStr">
        <is>
          <t>INV-00060</t>
        </is>
      </c>
      <c r="B61" t="inlineStr">
        <is>
          <t>Customer 33</t>
        </is>
      </c>
      <c r="C61" t="inlineStr">
        <is>
          <t>2026-07-08</t>
        </is>
      </c>
      <c r="D61" t="n">
        <v>45490.4</v>
      </c>
    </row>
    <row r="62">
      <c r="A62" t="inlineStr">
        <is>
          <t>INV-00061</t>
        </is>
      </c>
      <c r="B62" t="inlineStr">
        <is>
          <t>Customer 01</t>
        </is>
      </c>
      <c r="C62" t="inlineStr">
        <is>
          <t>2026-08-19</t>
        </is>
      </c>
      <c r="D62" t="n">
        <v>59409.05</v>
      </c>
    </row>
    <row r="63">
      <c r="A63" t="inlineStr">
        <is>
          <t>INV-00062</t>
        </is>
      </c>
      <c r="B63" t="inlineStr">
        <is>
          <t>Customer 05</t>
        </is>
      </c>
      <c r="C63" t="inlineStr">
        <is>
          <t>2026-08-20</t>
        </is>
      </c>
      <c r="D63" t="n">
        <v>35059.04</v>
      </c>
    </row>
    <row r="64">
      <c r="A64" t="inlineStr">
        <is>
          <t>INV-00063</t>
        </is>
      </c>
      <c r="B64" t="inlineStr">
        <is>
          <t>Customer 12</t>
        </is>
      </c>
      <c r="C64" t="inlineStr">
        <is>
          <t>2026-07-30</t>
        </is>
      </c>
      <c r="D64" t="n">
        <v>57412.05</v>
      </c>
    </row>
    <row r="65">
      <c r="A65" t="inlineStr">
        <is>
          <t>INV-00064</t>
        </is>
      </c>
      <c r="B65" t="inlineStr">
        <is>
          <t>Customer 39</t>
        </is>
      </c>
      <c r="C65" t="inlineStr">
        <is>
          <t>2026-08-10</t>
        </is>
      </c>
      <c r="D65" t="n">
        <v>19341.49</v>
      </c>
    </row>
    <row r="66">
      <c r="A66" t="inlineStr">
        <is>
          <t>INV-00065</t>
        </is>
      </c>
      <c r="B66" t="inlineStr">
        <is>
          <t>Customer 16</t>
        </is>
      </c>
      <c r="C66" t="inlineStr">
        <is>
          <t>2026-08-19</t>
        </is>
      </c>
      <c r="D66" t="n">
        <v>56062.77</v>
      </c>
    </row>
    <row r="67">
      <c r="A67" t="inlineStr">
        <is>
          <t>INV-00066</t>
        </is>
      </c>
      <c r="B67" t="inlineStr">
        <is>
          <t>Customer 19</t>
        </is>
      </c>
      <c r="C67" t="inlineStr">
        <is>
          <t>2026-09-03</t>
        </is>
      </c>
      <c r="D67" t="n">
        <v>12134.92</v>
      </c>
    </row>
    <row r="68">
      <c r="A68" t="inlineStr">
        <is>
          <t>INV-00067</t>
        </is>
      </c>
      <c r="B68" t="inlineStr">
        <is>
          <t>Customer 32</t>
        </is>
      </c>
      <c r="C68" t="inlineStr">
        <is>
          <t>2026-09-12</t>
        </is>
      </c>
      <c r="D68" t="n">
        <v>60328.98</v>
      </c>
    </row>
    <row r="69">
      <c r="A69" t="inlineStr">
        <is>
          <t>INV-00068</t>
        </is>
      </c>
      <c r="B69" t="inlineStr">
        <is>
          <t>Customer 39</t>
        </is>
      </c>
      <c r="C69" t="inlineStr">
        <is>
          <t>2026-07-08</t>
        </is>
      </c>
      <c r="D69" t="n">
        <v>7842.97</v>
      </c>
    </row>
    <row r="70">
      <c r="A70" t="inlineStr">
        <is>
          <t>INV-00069</t>
        </is>
      </c>
      <c r="B70" t="inlineStr">
        <is>
          <t>Customer 21</t>
        </is>
      </c>
      <c r="C70" t="inlineStr">
        <is>
          <t>2026-09-05</t>
        </is>
      </c>
      <c r="D70" t="n">
        <v>38361.84</v>
      </c>
    </row>
    <row r="71">
      <c r="A71" t="inlineStr">
        <is>
          <t>INV-00070</t>
        </is>
      </c>
      <c r="B71" t="inlineStr">
        <is>
          <t>Customer 40</t>
        </is>
      </c>
      <c r="C71" t="inlineStr">
        <is>
          <t>2026-09-06</t>
        </is>
      </c>
      <c r="D71" t="n">
        <v>23606.71</v>
      </c>
    </row>
    <row r="72">
      <c r="A72" t="inlineStr">
        <is>
          <t>INV-00071</t>
        </is>
      </c>
      <c r="B72" t="inlineStr">
        <is>
          <t>Customer 13</t>
        </is>
      </c>
      <c r="C72" t="inlineStr">
        <is>
          <t>2026-07-09</t>
        </is>
      </c>
      <c r="D72" t="n">
        <v>56957.04</v>
      </c>
    </row>
    <row r="73">
      <c r="A73" t="inlineStr">
        <is>
          <t>INV-00072</t>
        </is>
      </c>
      <c r="B73" t="inlineStr">
        <is>
          <t>Customer 21</t>
        </is>
      </c>
      <c r="C73" t="inlineStr">
        <is>
          <t>2026-07-26</t>
        </is>
      </c>
      <c r="D73" t="n">
        <v>46426.21</v>
      </c>
    </row>
    <row r="74">
      <c r="A74" t="inlineStr">
        <is>
          <t>INV-00073</t>
        </is>
      </c>
      <c r="B74" t="inlineStr">
        <is>
          <t>Customer 21</t>
        </is>
      </c>
      <c r="C74" t="inlineStr">
        <is>
          <t>2026-08-23</t>
        </is>
      </c>
      <c r="D74" t="n">
        <v>26964.33</v>
      </c>
    </row>
    <row r="75">
      <c r="A75" t="inlineStr">
        <is>
          <t>INV-00074</t>
        </is>
      </c>
      <c r="B75" t="inlineStr">
        <is>
          <t>Customer 05</t>
        </is>
      </c>
      <c r="C75" t="inlineStr">
        <is>
          <t>2026-07-10</t>
        </is>
      </c>
      <c r="D75" t="n">
        <v>8516.66</v>
      </c>
    </row>
    <row r="76">
      <c r="A76" t="inlineStr">
        <is>
          <t>INV-00075</t>
        </is>
      </c>
      <c r="B76" t="inlineStr">
        <is>
          <t>Customer 29</t>
        </is>
      </c>
      <c r="C76" t="inlineStr">
        <is>
          <t>2026-09-03</t>
        </is>
      </c>
      <c r="D76" t="n">
        <v>47177.76</v>
      </c>
    </row>
    <row r="77">
      <c r="A77" t="inlineStr">
        <is>
          <t>INV-00076</t>
        </is>
      </c>
      <c r="B77" t="inlineStr">
        <is>
          <t>Customer 02</t>
        </is>
      </c>
      <c r="C77" t="inlineStr">
        <is>
          <t>2026-08-26</t>
        </is>
      </c>
      <c r="D77" t="n">
        <v>46793.64</v>
      </c>
    </row>
    <row r="78">
      <c r="A78" t="inlineStr">
        <is>
          <t>INV-00077</t>
        </is>
      </c>
      <c r="B78" t="inlineStr">
        <is>
          <t>Customer 33</t>
        </is>
      </c>
      <c r="C78" t="inlineStr">
        <is>
          <t>2026-08-19</t>
        </is>
      </c>
      <c r="D78" t="n">
        <v>35580.57</v>
      </c>
    </row>
    <row r="79">
      <c r="A79" t="inlineStr">
        <is>
          <t>INV-00078</t>
        </is>
      </c>
      <c r="B79" t="inlineStr">
        <is>
          <t>Customer 05</t>
        </is>
      </c>
      <c r="C79" t="inlineStr">
        <is>
          <t>2026-07-29</t>
        </is>
      </c>
      <c r="D79" t="n">
        <v>65736.99000000001</v>
      </c>
    </row>
    <row r="80">
      <c r="A80" t="inlineStr">
        <is>
          <t>INV-00079</t>
        </is>
      </c>
      <c r="B80" t="inlineStr">
        <is>
          <t>Customer 28</t>
        </is>
      </c>
      <c r="C80" t="inlineStr">
        <is>
          <t>2026-07-06</t>
        </is>
      </c>
      <c r="D80" t="n">
        <v>2358.67</v>
      </c>
    </row>
    <row r="81">
      <c r="A81" t="inlineStr">
        <is>
          <t>INV-00080</t>
        </is>
      </c>
      <c r="B81" t="inlineStr">
        <is>
          <t>Customer 38</t>
        </is>
      </c>
      <c r="C81" t="inlineStr">
        <is>
          <t>2026-08-21</t>
        </is>
      </c>
      <c r="D81" t="n">
        <v>18905.74</v>
      </c>
    </row>
    <row r="82">
      <c r="A82" t="inlineStr">
        <is>
          <t>INV-00081</t>
        </is>
      </c>
      <c r="B82" t="inlineStr">
        <is>
          <t>Customer 30</t>
        </is>
      </c>
      <c r="C82" t="inlineStr">
        <is>
          <t>2026-07-31</t>
        </is>
      </c>
      <c r="D82" t="n">
        <v>54420.1</v>
      </c>
    </row>
    <row r="83">
      <c r="A83" t="inlineStr">
        <is>
          <t>INV-00082</t>
        </is>
      </c>
      <c r="B83" t="inlineStr">
        <is>
          <t>Customer 21</t>
        </is>
      </c>
      <c r="C83" t="inlineStr">
        <is>
          <t>2026-09-01</t>
        </is>
      </c>
      <c r="D83" t="n">
        <v>30220.97</v>
      </c>
    </row>
    <row r="84">
      <c r="A84" t="inlineStr">
        <is>
          <t>INV-00083</t>
        </is>
      </c>
      <c r="B84" t="inlineStr">
        <is>
          <t>Customer 06</t>
        </is>
      </c>
      <c r="C84" t="inlineStr">
        <is>
          <t>2026-07-05</t>
        </is>
      </c>
      <c r="D84" t="n">
        <v>17469.89</v>
      </c>
    </row>
    <row r="85">
      <c r="A85" t="inlineStr">
        <is>
          <t>INV-00084</t>
        </is>
      </c>
      <c r="B85" t="inlineStr">
        <is>
          <t>Customer 32</t>
        </is>
      </c>
      <c r="C85" t="inlineStr">
        <is>
          <t>2026-08-17</t>
        </is>
      </c>
      <c r="D85" t="n">
        <v>36238.19</v>
      </c>
    </row>
    <row r="86">
      <c r="A86" t="inlineStr">
        <is>
          <t>INV-00085</t>
        </is>
      </c>
      <c r="B86" t="inlineStr">
        <is>
          <t>Customer 14</t>
        </is>
      </c>
      <c r="C86" t="inlineStr">
        <is>
          <t>2026-08-27</t>
        </is>
      </c>
      <c r="D86" t="n">
        <v>53929.43</v>
      </c>
    </row>
    <row r="87">
      <c r="A87" t="inlineStr">
        <is>
          <t>INV-00086</t>
        </is>
      </c>
      <c r="B87" t="inlineStr">
        <is>
          <t>Customer 40</t>
        </is>
      </c>
      <c r="C87" t="inlineStr">
        <is>
          <t>2026-09-16</t>
        </is>
      </c>
      <c r="D87" t="n">
        <v>47197.17</v>
      </c>
    </row>
    <row r="88">
      <c r="A88" t="inlineStr">
        <is>
          <t>INV-00087</t>
        </is>
      </c>
      <c r="B88" t="inlineStr">
        <is>
          <t>Customer 17</t>
        </is>
      </c>
      <c r="C88" t="inlineStr">
        <is>
          <t>2026-08-01</t>
        </is>
      </c>
      <c r="D88" t="n">
        <v>52577.43</v>
      </c>
    </row>
    <row r="89">
      <c r="A89" t="inlineStr">
        <is>
          <t>INV-00088</t>
        </is>
      </c>
      <c r="B89" t="inlineStr">
        <is>
          <t>Customer 32</t>
        </is>
      </c>
      <c r="C89" t="inlineStr">
        <is>
          <t>2026-08-19</t>
        </is>
      </c>
      <c r="D89" t="n">
        <v>36349.42</v>
      </c>
    </row>
    <row r="90">
      <c r="A90" t="inlineStr">
        <is>
          <t>INV-00089</t>
        </is>
      </c>
      <c r="B90" t="inlineStr">
        <is>
          <t>Customer 25</t>
        </is>
      </c>
      <c r="C90" t="inlineStr">
        <is>
          <t>2026-09-06</t>
        </is>
      </c>
      <c r="D90" t="n">
        <v>23293.42</v>
      </c>
    </row>
    <row r="91">
      <c r="A91" t="inlineStr">
        <is>
          <t>INV-00090</t>
        </is>
      </c>
      <c r="B91" t="inlineStr">
        <is>
          <t>Customer 01</t>
        </is>
      </c>
      <c r="C91" t="inlineStr">
        <is>
          <t>2026-07-21</t>
        </is>
      </c>
      <c r="D91" t="n">
        <v>72295.99000000001</v>
      </c>
    </row>
    <row r="92">
      <c r="A92" t="inlineStr">
        <is>
          <t>INV-00091</t>
        </is>
      </c>
      <c r="B92" t="inlineStr">
        <is>
          <t>Customer 20</t>
        </is>
      </c>
      <c r="C92" t="inlineStr">
        <is>
          <t>2026-08-20</t>
        </is>
      </c>
      <c r="D92" t="n">
        <v>23789.91</v>
      </c>
    </row>
    <row r="93">
      <c r="A93" t="inlineStr">
        <is>
          <t>INV-00092</t>
        </is>
      </c>
      <c r="B93" t="inlineStr">
        <is>
          <t>Customer 06</t>
        </is>
      </c>
      <c r="C93" t="inlineStr">
        <is>
          <t>2026-09-09</t>
        </is>
      </c>
      <c r="D93" t="n">
        <v>53873.08</v>
      </c>
    </row>
    <row r="94">
      <c r="A94" t="inlineStr">
        <is>
          <t>INV-00093</t>
        </is>
      </c>
      <c r="B94" t="inlineStr">
        <is>
          <t>Customer 34</t>
        </is>
      </c>
      <c r="C94" t="inlineStr">
        <is>
          <t>2026-08-08</t>
        </is>
      </c>
      <c r="D94" t="n">
        <v>13561.23</v>
      </c>
    </row>
    <row r="95">
      <c r="A95" t="inlineStr">
        <is>
          <t>INV-00094</t>
        </is>
      </c>
      <c r="B95" t="inlineStr">
        <is>
          <t>Customer 25</t>
        </is>
      </c>
      <c r="C95" t="inlineStr">
        <is>
          <t>2026-08-29</t>
        </is>
      </c>
      <c r="D95" t="n">
        <v>46687.54</v>
      </c>
    </row>
    <row r="96">
      <c r="A96" t="inlineStr">
        <is>
          <t>INV-00095</t>
        </is>
      </c>
      <c r="B96" t="inlineStr">
        <is>
          <t>Customer 11</t>
        </is>
      </c>
      <c r="C96" t="inlineStr">
        <is>
          <t>2026-08-25</t>
        </is>
      </c>
      <c r="D96" t="n">
        <v>73734.06</v>
      </c>
    </row>
    <row r="97">
      <c r="A97" t="inlineStr">
        <is>
          <t>INV-00096</t>
        </is>
      </c>
      <c r="B97" t="inlineStr">
        <is>
          <t>Customer 22</t>
        </is>
      </c>
      <c r="C97" t="inlineStr">
        <is>
          <t>2026-08-17</t>
        </is>
      </c>
      <c r="D97" t="n">
        <v>15833.49</v>
      </c>
    </row>
    <row r="98">
      <c r="A98" t="inlineStr">
        <is>
          <t>INV-00097</t>
        </is>
      </c>
      <c r="B98" t="inlineStr">
        <is>
          <t>Customer 13</t>
        </is>
      </c>
      <c r="C98" t="inlineStr">
        <is>
          <t>2026-08-03</t>
        </is>
      </c>
      <c r="D98" t="n">
        <v>48297.51</v>
      </c>
    </row>
    <row r="99">
      <c r="A99" t="inlineStr">
        <is>
          <t>INV-00098</t>
        </is>
      </c>
      <c r="B99" t="inlineStr">
        <is>
          <t>Customer 02</t>
        </is>
      </c>
      <c r="C99" t="inlineStr">
        <is>
          <t>2026-08-11</t>
        </is>
      </c>
      <c r="D99" t="n">
        <v>6608.66</v>
      </c>
    </row>
    <row r="100">
      <c r="A100" t="inlineStr">
        <is>
          <t>INV-00099</t>
        </is>
      </c>
      <c r="B100" t="inlineStr">
        <is>
          <t>Customer 10</t>
        </is>
      </c>
      <c r="C100" t="inlineStr">
        <is>
          <t>2026-09-03</t>
        </is>
      </c>
      <c r="D100" t="n">
        <v>38843.19</v>
      </c>
    </row>
    <row r="101">
      <c r="A101" t="inlineStr">
        <is>
          <t>INV-00100</t>
        </is>
      </c>
      <c r="B101" t="inlineStr">
        <is>
          <t>Customer 39</t>
        </is>
      </c>
      <c r="C101" t="inlineStr">
        <is>
          <t>2026-08-05</t>
        </is>
      </c>
      <c r="D101" t="n">
        <v>15391.14</v>
      </c>
    </row>
    <row r="102">
      <c r="A102" t="inlineStr">
        <is>
          <t>INV-00101</t>
        </is>
      </c>
      <c r="B102" t="inlineStr">
        <is>
          <t>Customer 11</t>
        </is>
      </c>
      <c r="C102" t="inlineStr">
        <is>
          <t>2026-08-20</t>
        </is>
      </c>
      <c r="D102" t="n">
        <v>53856.06</v>
      </c>
    </row>
    <row r="103">
      <c r="A103" t="inlineStr">
        <is>
          <t>INV-00102</t>
        </is>
      </c>
      <c r="B103" t="inlineStr">
        <is>
          <t>Customer 28</t>
        </is>
      </c>
      <c r="C103" t="inlineStr">
        <is>
          <t>2026-08-28</t>
        </is>
      </c>
      <c r="D103" t="n">
        <v>35288.94</v>
      </c>
    </row>
    <row r="104">
      <c r="A104" t="inlineStr">
        <is>
          <t>INV-00103</t>
        </is>
      </c>
      <c r="B104" t="inlineStr">
        <is>
          <t>Customer 18</t>
        </is>
      </c>
      <c r="C104" t="inlineStr">
        <is>
          <t>2026-07-23</t>
        </is>
      </c>
      <c r="D104" t="n">
        <v>46473.38</v>
      </c>
    </row>
    <row r="105">
      <c r="A105" t="inlineStr">
        <is>
          <t>INV-00104</t>
        </is>
      </c>
      <c r="B105" t="inlineStr">
        <is>
          <t>Customer 40</t>
        </is>
      </c>
      <c r="C105" t="inlineStr">
        <is>
          <t>2026-08-04</t>
        </is>
      </c>
      <c r="D105" t="n">
        <v>50241.28</v>
      </c>
    </row>
    <row r="106">
      <c r="A106" t="inlineStr">
        <is>
          <t>INV-00105</t>
        </is>
      </c>
      <c r="B106" t="inlineStr">
        <is>
          <t>Customer 14</t>
        </is>
      </c>
      <c r="C106" t="inlineStr">
        <is>
          <t>2026-07-05</t>
        </is>
      </c>
      <c r="D106" t="n">
        <v>7872.41</v>
      </c>
    </row>
    <row r="107">
      <c r="A107" t="inlineStr">
        <is>
          <t>INV-00106</t>
        </is>
      </c>
      <c r="B107" t="inlineStr">
        <is>
          <t>Customer 24</t>
        </is>
      </c>
      <c r="C107" t="inlineStr">
        <is>
          <t>2026-07-03</t>
        </is>
      </c>
      <c r="D107" t="n">
        <v>26619.62</v>
      </c>
    </row>
    <row r="108">
      <c r="A108" t="inlineStr">
        <is>
          <t>INV-00107</t>
        </is>
      </c>
      <c r="B108" t="inlineStr">
        <is>
          <t>Customer 38</t>
        </is>
      </c>
      <c r="C108" t="inlineStr">
        <is>
          <t>2026-07-06</t>
        </is>
      </c>
      <c r="D108" t="n">
        <v>6078.43</v>
      </c>
    </row>
    <row r="109">
      <c r="A109" t="inlineStr">
        <is>
          <t>INV-00108</t>
        </is>
      </c>
      <c r="B109" t="inlineStr">
        <is>
          <t>Customer 29</t>
        </is>
      </c>
      <c r="C109" t="inlineStr">
        <is>
          <t>2026-08-27</t>
        </is>
      </c>
      <c r="D109" t="n">
        <v>30162.31</v>
      </c>
    </row>
    <row r="110">
      <c r="A110" t="inlineStr">
        <is>
          <t>INV-00109</t>
        </is>
      </c>
      <c r="B110" t="inlineStr">
        <is>
          <t>Customer 01</t>
        </is>
      </c>
      <c r="C110" t="inlineStr">
        <is>
          <t>2026-09-08</t>
        </is>
      </c>
      <c r="D110" t="n">
        <v>18396.94</v>
      </c>
    </row>
    <row r="111">
      <c r="A111" t="inlineStr">
        <is>
          <t>INV-00110</t>
        </is>
      </c>
      <c r="B111" t="inlineStr">
        <is>
          <t>Customer 20</t>
        </is>
      </c>
      <c r="C111" t="inlineStr">
        <is>
          <t>2026-07-25</t>
        </is>
      </c>
      <c r="D111" t="n">
        <v>11517.18</v>
      </c>
    </row>
    <row r="112">
      <c r="A112" t="inlineStr">
        <is>
          <t>INV-00111</t>
        </is>
      </c>
      <c r="B112" t="inlineStr">
        <is>
          <t>Customer 01</t>
        </is>
      </c>
      <c r="C112" t="inlineStr">
        <is>
          <t>2026-08-17</t>
        </is>
      </c>
      <c r="D112" t="n">
        <v>34330.78</v>
      </c>
    </row>
    <row r="113">
      <c r="A113" t="inlineStr">
        <is>
          <t>INV-00112</t>
        </is>
      </c>
      <c r="B113" t="inlineStr">
        <is>
          <t>Customer 37</t>
        </is>
      </c>
      <c r="C113" t="inlineStr">
        <is>
          <t>2026-08-25</t>
        </is>
      </c>
      <c r="D113" t="n">
        <v>12882.12</v>
      </c>
    </row>
    <row r="114">
      <c r="A114" t="inlineStr">
        <is>
          <t>INV-00113</t>
        </is>
      </c>
      <c r="B114" t="inlineStr">
        <is>
          <t>Customer 04</t>
        </is>
      </c>
      <c r="C114" t="inlineStr">
        <is>
          <t>2026-08-09</t>
        </is>
      </c>
      <c r="D114" t="n">
        <v>39941.46</v>
      </c>
    </row>
    <row r="115">
      <c r="A115" t="inlineStr">
        <is>
          <t>INV-00114</t>
        </is>
      </c>
      <c r="B115" t="inlineStr">
        <is>
          <t>Customer 26</t>
        </is>
      </c>
      <c r="C115" t="inlineStr">
        <is>
          <t>2026-09-09</t>
        </is>
      </c>
      <c r="D115" t="n">
        <v>14474.25</v>
      </c>
    </row>
    <row r="116">
      <c r="A116" t="inlineStr">
        <is>
          <t>INV-00115</t>
        </is>
      </c>
      <c r="B116" t="inlineStr">
        <is>
          <t>Customer 37</t>
        </is>
      </c>
      <c r="C116" t="inlineStr">
        <is>
          <t>2026-09-13</t>
        </is>
      </c>
      <c r="D116" t="n">
        <v>18702.08</v>
      </c>
    </row>
    <row r="117">
      <c r="A117" t="inlineStr">
        <is>
          <t>INV-00116</t>
        </is>
      </c>
      <c r="B117" t="inlineStr">
        <is>
          <t>Customer 02</t>
        </is>
      </c>
      <c r="C117" t="inlineStr">
        <is>
          <t>2026-09-13</t>
        </is>
      </c>
      <c r="D117" t="n">
        <v>69424.53999999999</v>
      </c>
    </row>
    <row r="118">
      <c r="A118" t="inlineStr">
        <is>
          <t>INV-00117</t>
        </is>
      </c>
      <c r="B118" t="inlineStr">
        <is>
          <t>Customer 28</t>
        </is>
      </c>
      <c r="C118" t="inlineStr">
        <is>
          <t>2026-07-25</t>
        </is>
      </c>
      <c r="D118" t="n">
        <v>5939.39</v>
      </c>
    </row>
    <row r="119">
      <c r="A119" t="inlineStr">
        <is>
          <t>INV-00118</t>
        </is>
      </c>
      <c r="B119" t="inlineStr">
        <is>
          <t>Customer 32</t>
        </is>
      </c>
      <c r="C119" t="inlineStr">
        <is>
          <t>2026-09-06</t>
        </is>
      </c>
      <c r="D119" t="n">
        <v>11831.83</v>
      </c>
    </row>
    <row r="120">
      <c r="A120" t="inlineStr">
        <is>
          <t>INV-00119</t>
        </is>
      </c>
      <c r="B120" t="inlineStr">
        <is>
          <t>Customer 40</t>
        </is>
      </c>
      <c r="C120" t="inlineStr">
        <is>
          <t>2026-09-01</t>
        </is>
      </c>
      <c r="D120" t="n">
        <v>45685.74</v>
      </c>
    </row>
    <row r="121">
      <c r="A121" t="inlineStr">
        <is>
          <t>INV-00120</t>
        </is>
      </c>
      <c r="B121" t="inlineStr">
        <is>
          <t>Customer 22</t>
        </is>
      </c>
      <c r="C121" t="inlineStr">
        <is>
          <t>2026-07-20</t>
        </is>
      </c>
      <c r="D121" t="n">
        <v>35597.59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Invoice ID</t>
        </is>
      </c>
      <c r="B1" s="1" t="inlineStr">
        <is>
          <t>Customer</t>
        </is>
      </c>
      <c r="C1" s="1" t="inlineStr">
        <is>
          <t>Post Date</t>
        </is>
      </c>
      <c r="D1" s="1" t="inlineStr">
        <is>
          <t>ERP Amount</t>
        </is>
      </c>
    </row>
    <row r="2">
      <c r="A2" t="inlineStr">
        <is>
          <t>INV-00001</t>
        </is>
      </c>
      <c r="B2" t="inlineStr">
        <is>
          <t>Customer 27</t>
        </is>
      </c>
      <c r="C2" t="inlineStr">
        <is>
          <t>2026-08-06</t>
        </is>
      </c>
      <c r="D2" t="n">
        <v>12788.74</v>
      </c>
    </row>
    <row r="3">
      <c r="A3" t="inlineStr">
        <is>
          <t>INV-00002</t>
        </is>
      </c>
      <c r="B3" t="inlineStr">
        <is>
          <t>Customer 14</t>
        </is>
      </c>
      <c r="C3" t="inlineStr">
        <is>
          <t>2026-08-30</t>
        </is>
      </c>
      <c r="D3" t="n">
        <v>36192.99</v>
      </c>
    </row>
    <row r="4">
      <c r="A4" t="inlineStr">
        <is>
          <t>INV-00003</t>
        </is>
      </c>
      <c r="B4" t="inlineStr">
        <is>
          <t>Customer 33</t>
        </is>
      </c>
      <c r="C4" t="inlineStr">
        <is>
          <t>2026-07-24</t>
        </is>
      </c>
      <c r="D4" t="n">
        <v>60685.15</v>
      </c>
    </row>
    <row r="5">
      <c r="A5" t="inlineStr">
        <is>
          <t>INV-00004</t>
        </is>
      </c>
      <c r="B5" t="inlineStr">
        <is>
          <t>Customer 16</t>
        </is>
      </c>
      <c r="C5" t="inlineStr">
        <is>
          <t>2026-07-01</t>
        </is>
      </c>
      <c r="D5" t="n">
        <v>38128.77</v>
      </c>
    </row>
    <row r="6">
      <c r="A6" t="inlineStr">
        <is>
          <t>INV-00005</t>
        </is>
      </c>
      <c r="B6" t="inlineStr">
        <is>
          <t>Customer 38</t>
        </is>
      </c>
      <c r="C6" t="inlineStr">
        <is>
          <t>2026-08-24</t>
        </is>
      </c>
      <c r="D6" t="n">
        <v>1552.04</v>
      </c>
    </row>
    <row r="7">
      <c r="A7" t="inlineStr">
        <is>
          <t>INV-00006</t>
        </is>
      </c>
      <c r="B7" t="inlineStr">
        <is>
          <t>Customer 15</t>
        </is>
      </c>
      <c r="C7" t="inlineStr">
        <is>
          <t>2026-07-30</t>
        </is>
      </c>
      <c r="D7" t="n">
        <v>5660.22</v>
      </c>
    </row>
    <row r="8">
      <c r="A8" t="inlineStr">
        <is>
          <t>INV-00007</t>
        </is>
      </c>
      <c r="B8" t="inlineStr">
        <is>
          <t>Customer 28</t>
        </is>
      </c>
      <c r="C8" t="inlineStr">
        <is>
          <t>2026-08-22</t>
        </is>
      </c>
      <c r="D8" t="n">
        <v>52196.93</v>
      </c>
    </row>
    <row r="9">
      <c r="A9" t="inlineStr">
        <is>
          <t>INV-00008</t>
        </is>
      </c>
      <c r="B9" t="inlineStr">
        <is>
          <t>Customer 03</t>
        </is>
      </c>
      <c r="C9" t="inlineStr">
        <is>
          <t>2026-08-12</t>
        </is>
      </c>
      <c r="D9" t="n">
        <v>46383.81</v>
      </c>
    </row>
    <row r="10">
      <c r="A10" t="inlineStr">
        <is>
          <t>INV-00009</t>
        </is>
      </c>
      <c r="B10" t="inlineStr">
        <is>
          <t>Customer 08</t>
        </is>
      </c>
      <c r="C10" t="inlineStr">
        <is>
          <t>2026-08-17</t>
        </is>
      </c>
      <c r="D10" t="n">
        <v>40741.13</v>
      </c>
    </row>
    <row r="11">
      <c r="A11" t="inlineStr">
        <is>
          <t>INV-00011</t>
        </is>
      </c>
      <c r="B11" t="inlineStr">
        <is>
          <t>Customer 02</t>
        </is>
      </c>
      <c r="C11" t="inlineStr">
        <is>
          <t>2026-08-28</t>
        </is>
      </c>
      <c r="D11" t="n">
        <v>60891.66</v>
      </c>
    </row>
    <row r="12">
      <c r="A12" t="inlineStr">
        <is>
          <t>INV-00012</t>
        </is>
      </c>
      <c r="B12" t="inlineStr">
        <is>
          <t>Customer 22</t>
        </is>
      </c>
      <c r="C12" t="inlineStr">
        <is>
          <t>2026-08-21</t>
        </is>
      </c>
      <c r="D12" t="n">
        <v>12501.85</v>
      </c>
    </row>
    <row r="13">
      <c r="A13" t="inlineStr">
        <is>
          <t>INV-00013</t>
        </is>
      </c>
      <c r="B13" t="inlineStr">
        <is>
          <t>Customer 12</t>
        </is>
      </c>
      <c r="C13" t="inlineStr">
        <is>
          <t>2026-07-05</t>
        </is>
      </c>
      <c r="D13" t="n">
        <v>36610.42</v>
      </c>
    </row>
    <row r="14">
      <c r="A14" t="inlineStr">
        <is>
          <t>INV-00014</t>
        </is>
      </c>
      <c r="B14" t="inlineStr">
        <is>
          <t>Customer 16</t>
        </is>
      </c>
      <c r="C14" t="inlineStr">
        <is>
          <t>2026-07-10</t>
        </is>
      </c>
      <c r="D14" t="n">
        <v>35510.68</v>
      </c>
    </row>
    <row r="15">
      <c r="A15" t="inlineStr">
        <is>
          <t>INV-00015</t>
        </is>
      </c>
      <c r="B15" t="inlineStr">
        <is>
          <t>Customer 14</t>
        </is>
      </c>
      <c r="C15" t="inlineStr">
        <is>
          <t>2026-09-13</t>
        </is>
      </c>
      <c r="D15" t="n">
        <v>58629.32</v>
      </c>
    </row>
    <row r="16">
      <c r="A16" t="inlineStr">
        <is>
          <t>INV-00016</t>
        </is>
      </c>
      <c r="B16" t="inlineStr">
        <is>
          <t>Customer 05</t>
        </is>
      </c>
      <c r="C16" t="inlineStr">
        <is>
          <t>2026-07-16</t>
        </is>
      </c>
      <c r="D16" t="n">
        <v>74167.03</v>
      </c>
    </row>
    <row r="17">
      <c r="A17" t="inlineStr">
        <is>
          <t>INV-00017</t>
        </is>
      </c>
      <c r="B17" t="inlineStr">
        <is>
          <t>Customer 36</t>
        </is>
      </c>
      <c r="C17" t="inlineStr">
        <is>
          <t>2026-08-19</t>
        </is>
      </c>
      <c r="D17" t="n">
        <v>42229.16</v>
      </c>
    </row>
    <row r="18">
      <c r="A18" t="inlineStr">
        <is>
          <t>INV-00018</t>
        </is>
      </c>
      <c r="B18" t="inlineStr">
        <is>
          <t>Customer 10</t>
        </is>
      </c>
      <c r="C18" t="inlineStr">
        <is>
          <t>2026-09-07</t>
        </is>
      </c>
      <c r="D18" t="n">
        <v>15480.42</v>
      </c>
    </row>
    <row r="19">
      <c r="A19" t="inlineStr">
        <is>
          <t>INV-00019</t>
        </is>
      </c>
      <c r="B19" t="inlineStr">
        <is>
          <t>Customer 24</t>
        </is>
      </c>
      <c r="C19" t="inlineStr">
        <is>
          <t>2026-08-27</t>
        </is>
      </c>
      <c r="D19" t="n">
        <v>31015.33</v>
      </c>
    </row>
    <row r="20">
      <c r="A20" t="inlineStr">
        <is>
          <t>INV-00020</t>
        </is>
      </c>
      <c r="B20" t="inlineStr">
        <is>
          <t>Customer 21</t>
        </is>
      </c>
      <c r="C20" t="inlineStr">
        <is>
          <t>2026-09-01</t>
        </is>
      </c>
      <c r="D20" t="n">
        <v>37857.21</v>
      </c>
    </row>
    <row r="21">
      <c r="A21" t="inlineStr">
        <is>
          <t>INV-00021</t>
        </is>
      </c>
      <c r="B21" t="inlineStr">
        <is>
          <t>Customer 02</t>
        </is>
      </c>
      <c r="C21" t="inlineStr">
        <is>
          <t>2026-07-12</t>
        </is>
      </c>
      <c r="D21" t="n">
        <v>29301.2</v>
      </c>
    </row>
    <row r="22">
      <c r="A22" t="inlineStr">
        <is>
          <t>INV-00022</t>
        </is>
      </c>
      <c r="B22" t="inlineStr">
        <is>
          <t>Customer 32</t>
        </is>
      </c>
      <c r="C22" t="inlineStr">
        <is>
          <t>2026-07-01</t>
        </is>
      </c>
      <c r="D22" t="n">
        <v>12341.31</v>
      </c>
    </row>
    <row r="23">
      <c r="A23" t="inlineStr">
        <is>
          <t>INV-00023</t>
        </is>
      </c>
      <c r="B23" t="inlineStr">
        <is>
          <t>Customer 36</t>
        </is>
      </c>
      <c r="C23" t="inlineStr">
        <is>
          <t>2026-09-15</t>
        </is>
      </c>
      <c r="D23" t="n">
        <v>37119.7</v>
      </c>
    </row>
    <row r="24">
      <c r="A24" t="inlineStr">
        <is>
          <t>INV-00024</t>
        </is>
      </c>
      <c r="B24" t="inlineStr">
        <is>
          <t>Customer 15</t>
        </is>
      </c>
      <c r="C24" t="inlineStr">
        <is>
          <t>2026-09-12</t>
        </is>
      </c>
      <c r="D24" t="n">
        <v>56239.11</v>
      </c>
    </row>
    <row r="25">
      <c r="A25" t="inlineStr">
        <is>
          <t>INV-00025</t>
        </is>
      </c>
      <c r="B25" t="inlineStr">
        <is>
          <t>Customer 36</t>
        </is>
      </c>
      <c r="C25" t="inlineStr">
        <is>
          <t>2026-09-18</t>
        </is>
      </c>
      <c r="D25" t="n">
        <v>45863.15</v>
      </c>
    </row>
    <row r="26">
      <c r="A26" t="inlineStr">
        <is>
          <t>INV-00026</t>
        </is>
      </c>
      <c r="B26" t="inlineStr">
        <is>
          <t>Customer 11</t>
        </is>
      </c>
      <c r="C26" t="inlineStr">
        <is>
          <t>2026-09-19</t>
        </is>
      </c>
      <c r="D26" t="n">
        <v>8896.870000000001</v>
      </c>
    </row>
    <row r="27">
      <c r="A27" t="inlineStr">
        <is>
          <t>INV-00027</t>
        </is>
      </c>
      <c r="B27" t="inlineStr">
        <is>
          <t>Customer 22</t>
        </is>
      </c>
      <c r="C27" t="inlineStr">
        <is>
          <t>2026-08-14</t>
        </is>
      </c>
      <c r="D27" t="n">
        <v>26441.44</v>
      </c>
    </row>
    <row r="28">
      <c r="A28" t="inlineStr">
        <is>
          <t>INV-00028</t>
        </is>
      </c>
      <c r="B28" t="inlineStr">
        <is>
          <t>Customer 20</t>
        </is>
      </c>
      <c r="C28" t="inlineStr">
        <is>
          <t>2026-08-01</t>
        </is>
      </c>
      <c r="D28" t="n">
        <v>57257.98</v>
      </c>
    </row>
    <row r="29">
      <c r="A29" t="inlineStr">
        <is>
          <t>INV-00029</t>
        </is>
      </c>
      <c r="B29" t="inlineStr">
        <is>
          <t>Customer 05</t>
        </is>
      </c>
      <c r="C29" t="inlineStr">
        <is>
          <t>2026-07-23</t>
        </is>
      </c>
      <c r="D29" t="n">
        <v>8193.860000000001</v>
      </c>
    </row>
    <row r="30">
      <c r="A30" t="inlineStr">
        <is>
          <t>INV-00030</t>
        </is>
      </c>
      <c r="B30" t="inlineStr">
        <is>
          <t>Customer 24</t>
        </is>
      </c>
      <c r="C30" t="inlineStr">
        <is>
          <t>2026-07-21</t>
        </is>
      </c>
      <c r="D30" t="n">
        <v>58387.88</v>
      </c>
    </row>
    <row r="31">
      <c r="A31" t="inlineStr">
        <is>
          <t>INV-00031</t>
        </is>
      </c>
      <c r="B31" t="inlineStr">
        <is>
          <t>Customer 34</t>
        </is>
      </c>
      <c r="C31" t="inlineStr">
        <is>
          <t>2026-07-31</t>
        </is>
      </c>
      <c r="D31" t="n">
        <v>51366.96</v>
      </c>
    </row>
    <row r="32">
      <c r="A32" t="inlineStr">
        <is>
          <t>INV-00032</t>
        </is>
      </c>
      <c r="B32" t="inlineStr">
        <is>
          <t>Customer 11</t>
        </is>
      </c>
      <c r="C32" t="inlineStr">
        <is>
          <t>2026-09-14</t>
        </is>
      </c>
      <c r="D32" t="n">
        <v>30822.59</v>
      </c>
    </row>
    <row r="33">
      <c r="A33" t="inlineStr">
        <is>
          <t>INV-00033</t>
        </is>
      </c>
      <c r="B33" t="inlineStr">
        <is>
          <t>Customer 23</t>
        </is>
      </c>
      <c r="C33" t="inlineStr">
        <is>
          <t>2026-09-01</t>
        </is>
      </c>
      <c r="D33" t="n">
        <v>1562.58</v>
      </c>
    </row>
    <row r="34">
      <c r="A34" t="inlineStr">
        <is>
          <t>INV-00034</t>
        </is>
      </c>
      <c r="B34" t="inlineStr">
        <is>
          <t>Customer 16</t>
        </is>
      </c>
      <c r="C34" t="inlineStr">
        <is>
          <t>2026-08-01</t>
        </is>
      </c>
      <c r="D34" t="n">
        <v>38206.98</v>
      </c>
    </row>
    <row r="35">
      <c r="A35" t="inlineStr">
        <is>
          <t>INV-00035</t>
        </is>
      </c>
      <c r="B35" t="inlineStr">
        <is>
          <t>Customer 05</t>
        </is>
      </c>
      <c r="C35" t="inlineStr">
        <is>
          <t>2026-08-26</t>
        </is>
      </c>
      <c r="D35" t="n">
        <v>12590.8</v>
      </c>
    </row>
    <row r="36">
      <c r="A36" t="inlineStr">
        <is>
          <t>INV-00036</t>
        </is>
      </c>
      <c r="B36" t="inlineStr">
        <is>
          <t>Customer 31</t>
        </is>
      </c>
      <c r="C36" t="inlineStr">
        <is>
          <t>2026-07-08</t>
        </is>
      </c>
      <c r="D36" t="n">
        <v>60493.49</v>
      </c>
    </row>
    <row r="37">
      <c r="A37" t="inlineStr">
        <is>
          <t>INV-00037</t>
        </is>
      </c>
      <c r="B37" t="inlineStr">
        <is>
          <t>Customer 04</t>
        </is>
      </c>
      <c r="C37" t="inlineStr">
        <is>
          <t>2026-08-03</t>
        </is>
      </c>
      <c r="D37" t="n">
        <v>62856.41</v>
      </c>
    </row>
    <row r="38">
      <c r="A38" t="inlineStr">
        <is>
          <t>INV-00038</t>
        </is>
      </c>
      <c r="B38" t="inlineStr">
        <is>
          <t>Customer 03</t>
        </is>
      </c>
      <c r="C38" t="inlineStr">
        <is>
          <t>2026-08-23</t>
        </is>
      </c>
      <c r="D38" t="n">
        <v>49552.76</v>
      </c>
    </row>
    <row r="39">
      <c r="A39" t="inlineStr">
        <is>
          <t>INV-00039</t>
        </is>
      </c>
      <c r="B39" t="inlineStr">
        <is>
          <t>Customer 26</t>
        </is>
      </c>
      <c r="C39" t="inlineStr">
        <is>
          <t>2026-07-09</t>
        </is>
      </c>
      <c r="D39" t="n">
        <v>19020.29</v>
      </c>
    </row>
    <row r="40">
      <c r="A40" t="inlineStr">
        <is>
          <t>INV-00040</t>
        </is>
      </c>
      <c r="B40" t="inlineStr">
        <is>
          <t>Customer 10</t>
        </is>
      </c>
      <c r="C40" t="inlineStr">
        <is>
          <t>2026-07-20</t>
        </is>
      </c>
      <c r="D40" t="n">
        <v>65343.73</v>
      </c>
    </row>
    <row r="41">
      <c r="A41" t="inlineStr">
        <is>
          <t>INV-00041</t>
        </is>
      </c>
      <c r="B41" t="inlineStr">
        <is>
          <t>Customer 31</t>
        </is>
      </c>
      <c r="C41" t="inlineStr">
        <is>
          <t>2026-07-07</t>
        </is>
      </c>
      <c r="D41" t="n">
        <v>56065.66</v>
      </c>
    </row>
    <row r="42">
      <c r="A42" t="inlineStr">
        <is>
          <t>INV-00042</t>
        </is>
      </c>
      <c r="B42" t="inlineStr">
        <is>
          <t>Customer 34</t>
        </is>
      </c>
      <c r="C42" t="inlineStr">
        <is>
          <t>2026-08-31</t>
        </is>
      </c>
      <c r="D42" t="n">
        <v>19290</v>
      </c>
    </row>
    <row r="43">
      <c r="A43" t="inlineStr">
        <is>
          <t>INV-00043</t>
        </is>
      </c>
      <c r="B43" t="inlineStr">
        <is>
          <t>Customer 14</t>
        </is>
      </c>
      <c r="C43" t="inlineStr">
        <is>
          <t>2026-08-16</t>
        </is>
      </c>
      <c r="D43" t="n">
        <v>2608.31</v>
      </c>
    </row>
    <row r="44">
      <c r="A44" t="inlineStr">
        <is>
          <t>INV-00044</t>
        </is>
      </c>
      <c r="B44" t="inlineStr">
        <is>
          <t>Customer 24</t>
        </is>
      </c>
      <c r="C44" t="inlineStr">
        <is>
          <t>2026-09-15</t>
        </is>
      </c>
      <c r="D44" t="n">
        <v>59743.76</v>
      </c>
    </row>
    <row r="45">
      <c r="A45" t="inlineStr">
        <is>
          <t>INV-00046</t>
        </is>
      </c>
      <c r="B45" t="inlineStr">
        <is>
          <t>Customer 31</t>
        </is>
      </c>
      <c r="C45" t="inlineStr">
        <is>
          <t>2026-08-09</t>
        </is>
      </c>
      <c r="D45" t="n">
        <v>67742.86</v>
      </c>
    </row>
    <row r="46">
      <c r="A46" t="inlineStr">
        <is>
          <t>INV-00047</t>
        </is>
      </c>
      <c r="B46" t="inlineStr">
        <is>
          <t>Customer 38</t>
        </is>
      </c>
      <c r="C46" t="inlineStr">
        <is>
          <t>2026-08-05</t>
        </is>
      </c>
      <c r="D46" t="n">
        <v>10840.23</v>
      </c>
    </row>
    <row r="47">
      <c r="A47" t="inlineStr">
        <is>
          <t>INV-00048</t>
        </is>
      </c>
      <c r="B47" t="inlineStr">
        <is>
          <t>Customer 01</t>
        </is>
      </c>
      <c r="C47" t="inlineStr">
        <is>
          <t>2026-08-18</t>
        </is>
      </c>
      <c r="D47" t="n">
        <v>10878.65</v>
      </c>
    </row>
    <row r="48">
      <c r="A48" t="inlineStr">
        <is>
          <t>INV-00049</t>
        </is>
      </c>
      <c r="B48" t="inlineStr">
        <is>
          <t>Customer 02</t>
        </is>
      </c>
      <c r="C48" t="inlineStr">
        <is>
          <t>2026-08-03</t>
        </is>
      </c>
      <c r="D48" t="n">
        <v>51554.76</v>
      </c>
    </row>
    <row r="49">
      <c r="A49" t="inlineStr">
        <is>
          <t>INV-00050</t>
        </is>
      </c>
      <c r="B49" t="inlineStr">
        <is>
          <t>Customer 16</t>
        </is>
      </c>
      <c r="C49" t="inlineStr">
        <is>
          <t>2026-09-13</t>
        </is>
      </c>
      <c r="D49" t="n">
        <v>44729.65</v>
      </c>
    </row>
    <row r="50">
      <c r="A50" t="inlineStr">
        <is>
          <t>INV-00051</t>
        </is>
      </c>
      <c r="B50" t="inlineStr">
        <is>
          <t>Customer 26</t>
        </is>
      </c>
      <c r="C50" t="inlineStr">
        <is>
          <t>2026-07-18</t>
        </is>
      </c>
      <c r="D50" t="n">
        <v>31871.93</v>
      </c>
    </row>
    <row r="51">
      <c r="A51" t="inlineStr">
        <is>
          <t>INV-00052</t>
        </is>
      </c>
      <c r="B51" t="inlineStr">
        <is>
          <t>Customer 07</t>
        </is>
      </c>
      <c r="C51" t="inlineStr">
        <is>
          <t>2026-08-20</t>
        </is>
      </c>
      <c r="D51" t="n">
        <v>10448.56</v>
      </c>
    </row>
    <row r="52">
      <c r="A52" t="inlineStr">
        <is>
          <t>INV-00053</t>
        </is>
      </c>
      <c r="B52" t="inlineStr">
        <is>
          <t>Customer 02</t>
        </is>
      </c>
      <c r="C52" t="inlineStr">
        <is>
          <t>2026-08-27</t>
        </is>
      </c>
      <c r="D52" t="n">
        <v>7498.44</v>
      </c>
    </row>
    <row r="53">
      <c r="A53" t="inlineStr">
        <is>
          <t>INV-00054</t>
        </is>
      </c>
      <c r="B53" t="inlineStr">
        <is>
          <t>Customer 05</t>
        </is>
      </c>
      <c r="C53" t="inlineStr">
        <is>
          <t>2026-07-16</t>
        </is>
      </c>
      <c r="D53" t="n">
        <v>59067.81</v>
      </c>
    </row>
    <row r="54">
      <c r="A54" t="inlineStr">
        <is>
          <t>INV-00055</t>
        </is>
      </c>
      <c r="B54" t="inlineStr">
        <is>
          <t>Customer 09</t>
        </is>
      </c>
      <c r="C54" t="inlineStr">
        <is>
          <t>2026-08-08</t>
        </is>
      </c>
      <c r="D54" t="n">
        <v>49321.58</v>
      </c>
    </row>
    <row r="55">
      <c r="A55" t="inlineStr">
        <is>
          <t>INV-00056</t>
        </is>
      </c>
      <c r="B55" t="inlineStr">
        <is>
          <t>Customer 21</t>
        </is>
      </c>
      <c r="C55" t="inlineStr">
        <is>
          <t>2026-08-20</t>
        </is>
      </c>
      <c r="D55" t="n">
        <v>41830.07</v>
      </c>
    </row>
    <row r="56">
      <c r="A56" t="inlineStr">
        <is>
          <t>INV-00057</t>
        </is>
      </c>
      <c r="B56" t="inlineStr">
        <is>
          <t>Customer 15</t>
        </is>
      </c>
      <c r="C56" t="inlineStr">
        <is>
          <t>2026-09-18</t>
        </is>
      </c>
      <c r="D56" t="n">
        <v>37293.07</v>
      </c>
    </row>
    <row r="57">
      <c r="A57" t="inlineStr">
        <is>
          <t>INV-00058</t>
        </is>
      </c>
      <c r="B57" t="inlineStr">
        <is>
          <t>Customer 12</t>
        </is>
      </c>
      <c r="C57" t="inlineStr">
        <is>
          <t>2026-08-18</t>
        </is>
      </c>
      <c r="D57" t="n">
        <v>12872.99</v>
      </c>
    </row>
    <row r="58">
      <c r="A58" t="inlineStr">
        <is>
          <t>INV-00059</t>
        </is>
      </c>
      <c r="B58" t="inlineStr">
        <is>
          <t>Customer 36</t>
        </is>
      </c>
      <c r="C58" t="inlineStr">
        <is>
          <t>2026-07-06</t>
        </is>
      </c>
      <c r="D58" t="n">
        <v>15520.76</v>
      </c>
    </row>
    <row r="59">
      <c r="A59" t="inlineStr">
        <is>
          <t>INV-00060</t>
        </is>
      </c>
      <c r="B59" t="inlineStr">
        <is>
          <t>Customer 33</t>
        </is>
      </c>
      <c r="C59" t="inlineStr">
        <is>
          <t>2026-07-08</t>
        </is>
      </c>
      <c r="D59" t="n">
        <v>45490.4</v>
      </c>
    </row>
    <row r="60">
      <c r="A60" t="inlineStr">
        <is>
          <t>INV-00061</t>
        </is>
      </c>
      <c r="B60" t="inlineStr">
        <is>
          <t>Customer 01</t>
        </is>
      </c>
      <c r="C60" t="inlineStr">
        <is>
          <t>2026-08-19</t>
        </is>
      </c>
      <c r="D60" t="n">
        <v>59409.05</v>
      </c>
    </row>
    <row r="61">
      <c r="A61" t="inlineStr">
        <is>
          <t>INV-00062</t>
        </is>
      </c>
      <c r="B61" t="inlineStr">
        <is>
          <t>Customer 05</t>
        </is>
      </c>
      <c r="C61" t="inlineStr">
        <is>
          <t>2026-08-20</t>
        </is>
      </c>
      <c r="D61" t="n">
        <v>35059.04</v>
      </c>
    </row>
    <row r="62">
      <c r="A62" t="inlineStr">
        <is>
          <t>INV-00063</t>
        </is>
      </c>
      <c r="B62" t="inlineStr">
        <is>
          <t>Customer 12</t>
        </is>
      </c>
      <c r="C62" t="inlineStr">
        <is>
          <t>2026-07-30</t>
        </is>
      </c>
      <c r="D62" t="n">
        <v>57412.05</v>
      </c>
    </row>
    <row r="63">
      <c r="A63" t="inlineStr">
        <is>
          <t>INV-00064</t>
        </is>
      </c>
      <c r="B63" t="inlineStr">
        <is>
          <t>Customer 39</t>
        </is>
      </c>
      <c r="C63" t="inlineStr">
        <is>
          <t>2026-08-10</t>
        </is>
      </c>
      <c r="D63" t="n">
        <v>19341.49</v>
      </c>
    </row>
    <row r="64">
      <c r="A64" t="inlineStr">
        <is>
          <t>INV-00065</t>
        </is>
      </c>
      <c r="B64" t="inlineStr">
        <is>
          <t>Customer 16</t>
        </is>
      </c>
      <c r="C64" t="inlineStr">
        <is>
          <t>2026-08-19</t>
        </is>
      </c>
      <c r="D64" t="n">
        <v>56062.77</v>
      </c>
    </row>
    <row r="65">
      <c r="A65" t="inlineStr">
        <is>
          <t>INV-00066</t>
        </is>
      </c>
      <c r="B65" t="inlineStr">
        <is>
          <t>Customer 19</t>
        </is>
      </c>
      <c r="C65" t="inlineStr">
        <is>
          <t>2026-09-03</t>
        </is>
      </c>
      <c r="D65" t="n">
        <v>12134.92</v>
      </c>
    </row>
    <row r="66">
      <c r="A66" t="inlineStr">
        <is>
          <t>INV-00067</t>
        </is>
      </c>
      <c r="B66" t="inlineStr">
        <is>
          <t>Customer 32</t>
        </is>
      </c>
      <c r="C66" t="inlineStr">
        <is>
          <t>2026-09-12</t>
        </is>
      </c>
      <c r="D66" t="n">
        <v>60328.98</v>
      </c>
    </row>
    <row r="67">
      <c r="A67" t="inlineStr">
        <is>
          <t>INV-00068</t>
        </is>
      </c>
      <c r="B67" t="inlineStr">
        <is>
          <t>Customer 39</t>
        </is>
      </c>
      <c r="C67" t="inlineStr">
        <is>
          <t>2026-07-08</t>
        </is>
      </c>
      <c r="D67" t="n">
        <v>7842.97</v>
      </c>
    </row>
    <row r="68">
      <c r="A68" t="inlineStr">
        <is>
          <t>INV-00069</t>
        </is>
      </c>
      <c r="B68" t="inlineStr">
        <is>
          <t>Customer 21</t>
        </is>
      </c>
      <c r="C68" t="inlineStr">
        <is>
          <t>2026-09-05</t>
        </is>
      </c>
      <c r="D68" t="n">
        <v>38361.84</v>
      </c>
    </row>
    <row r="69">
      <c r="A69" t="inlineStr">
        <is>
          <t>INV-00070</t>
        </is>
      </c>
      <c r="B69" t="inlineStr">
        <is>
          <t>Customer 40</t>
        </is>
      </c>
      <c r="C69" t="inlineStr">
        <is>
          <t>2026-09-06</t>
        </is>
      </c>
      <c r="D69" t="n">
        <v>23606.71</v>
      </c>
    </row>
    <row r="70">
      <c r="A70" t="inlineStr">
        <is>
          <t>INV-00071</t>
        </is>
      </c>
      <c r="B70" t="inlineStr">
        <is>
          <t>Customer 13</t>
        </is>
      </c>
      <c r="C70" t="inlineStr">
        <is>
          <t>2026-07-09</t>
        </is>
      </c>
      <c r="D70" t="n">
        <v>56948.84</v>
      </c>
    </row>
    <row r="71">
      <c r="A71" t="inlineStr">
        <is>
          <t>INV-00072</t>
        </is>
      </c>
      <c r="B71" t="inlineStr">
        <is>
          <t>Customer 21</t>
        </is>
      </c>
      <c r="C71" t="inlineStr">
        <is>
          <t>2026-07-26</t>
        </is>
      </c>
      <c r="D71" t="n">
        <v>46426.21</v>
      </c>
    </row>
    <row r="72">
      <c r="A72" t="inlineStr">
        <is>
          <t>INV-00073</t>
        </is>
      </c>
      <c r="B72" t="inlineStr">
        <is>
          <t>Customer 21</t>
        </is>
      </c>
      <c r="C72" t="inlineStr">
        <is>
          <t>2026-08-23</t>
        </is>
      </c>
      <c r="D72" t="n">
        <v>26964.33</v>
      </c>
    </row>
    <row r="73">
      <c r="A73" t="inlineStr">
        <is>
          <t>INV-00074</t>
        </is>
      </c>
      <c r="B73" t="inlineStr">
        <is>
          <t>Customer 05</t>
        </is>
      </c>
      <c r="C73" t="inlineStr">
        <is>
          <t>2026-07-10</t>
        </is>
      </c>
      <c r="D73" t="n">
        <v>8516.66</v>
      </c>
    </row>
    <row r="74">
      <c r="A74" t="inlineStr">
        <is>
          <t>INV-00075</t>
        </is>
      </c>
      <c r="B74" t="inlineStr">
        <is>
          <t>Customer 29</t>
        </is>
      </c>
      <c r="C74" t="inlineStr">
        <is>
          <t>2026-09-03</t>
        </is>
      </c>
      <c r="D74" t="n">
        <v>47177.76</v>
      </c>
    </row>
    <row r="75">
      <c r="A75" t="inlineStr">
        <is>
          <t>INV-00076</t>
        </is>
      </c>
      <c r="B75" t="inlineStr">
        <is>
          <t>Customer 02</t>
        </is>
      </c>
      <c r="C75" t="inlineStr">
        <is>
          <t>2026-08-26</t>
        </is>
      </c>
      <c r="D75" t="n">
        <v>46793.64</v>
      </c>
    </row>
    <row r="76">
      <c r="A76" t="inlineStr">
        <is>
          <t>INV-00077</t>
        </is>
      </c>
      <c r="B76" t="inlineStr">
        <is>
          <t>Customer 33</t>
        </is>
      </c>
      <c r="C76" t="inlineStr">
        <is>
          <t>2026-08-19</t>
        </is>
      </c>
      <c r="D76" t="n">
        <v>35580.57</v>
      </c>
    </row>
    <row r="77">
      <c r="A77" t="inlineStr">
        <is>
          <t>INV-00078</t>
        </is>
      </c>
      <c r="B77" t="inlineStr">
        <is>
          <t>Customer 05</t>
        </is>
      </c>
      <c r="C77" t="inlineStr">
        <is>
          <t>2026-07-29</t>
        </is>
      </c>
      <c r="D77" t="n">
        <v>65736.99000000001</v>
      </c>
    </row>
    <row r="78">
      <c r="A78" t="inlineStr">
        <is>
          <t>INV-00079</t>
        </is>
      </c>
      <c r="B78" t="inlineStr">
        <is>
          <t>Customer 28</t>
        </is>
      </c>
      <c r="C78" t="inlineStr">
        <is>
          <t>2026-07-06</t>
        </is>
      </c>
      <c r="D78" t="n">
        <v>2358.67</v>
      </c>
    </row>
    <row r="79">
      <c r="A79" t="inlineStr">
        <is>
          <t>INV-00080</t>
        </is>
      </c>
      <c r="B79" t="inlineStr">
        <is>
          <t>Customer 38</t>
        </is>
      </c>
      <c r="C79" t="inlineStr">
        <is>
          <t>2026-08-21</t>
        </is>
      </c>
      <c r="D79" t="n">
        <v>18905.74</v>
      </c>
    </row>
    <row r="80">
      <c r="A80" t="inlineStr">
        <is>
          <t>INV-00081</t>
        </is>
      </c>
      <c r="B80" t="inlineStr">
        <is>
          <t>Customer 30</t>
        </is>
      </c>
      <c r="C80" t="inlineStr">
        <is>
          <t>2026-07-31</t>
        </is>
      </c>
      <c r="D80" t="n">
        <v>54420.1</v>
      </c>
    </row>
    <row r="81">
      <c r="A81" t="inlineStr">
        <is>
          <t>INV-00082</t>
        </is>
      </c>
      <c r="B81" t="inlineStr">
        <is>
          <t>Customer 21</t>
        </is>
      </c>
      <c r="C81" t="inlineStr">
        <is>
          <t>2026-09-01</t>
        </is>
      </c>
      <c r="D81" t="n">
        <v>30220.97</v>
      </c>
    </row>
    <row r="82">
      <c r="A82" t="inlineStr">
        <is>
          <t>INV-00083</t>
        </is>
      </c>
      <c r="B82" t="inlineStr">
        <is>
          <t>Customer 06</t>
        </is>
      </c>
      <c r="C82" t="inlineStr">
        <is>
          <t>2026-07-05</t>
        </is>
      </c>
      <c r="D82" t="n">
        <v>17469.89</v>
      </c>
    </row>
    <row r="83">
      <c r="A83" t="inlineStr">
        <is>
          <t>INV-00084</t>
        </is>
      </c>
      <c r="B83" t="inlineStr">
        <is>
          <t>Customer 32</t>
        </is>
      </c>
      <c r="C83" t="inlineStr">
        <is>
          <t>2026-08-17</t>
        </is>
      </c>
      <c r="D83" t="n">
        <v>36238.19</v>
      </c>
    </row>
    <row r="84">
      <c r="A84" t="inlineStr">
        <is>
          <t>INV-00085</t>
        </is>
      </c>
      <c r="B84" t="inlineStr">
        <is>
          <t>Customer 14</t>
        </is>
      </c>
      <c r="C84" t="inlineStr">
        <is>
          <t>2026-08-27</t>
        </is>
      </c>
      <c r="D84" t="n">
        <v>53929.43</v>
      </c>
    </row>
    <row r="85">
      <c r="A85" t="inlineStr">
        <is>
          <t>INV-00086</t>
        </is>
      </c>
      <c r="B85" t="inlineStr">
        <is>
          <t>Customer 40</t>
        </is>
      </c>
      <c r="C85" t="inlineStr">
        <is>
          <t>2026-09-16</t>
        </is>
      </c>
      <c r="D85" t="n">
        <v>47197.17</v>
      </c>
    </row>
    <row r="86">
      <c r="A86" t="inlineStr">
        <is>
          <t>INV-00087</t>
        </is>
      </c>
      <c r="B86" t="inlineStr">
        <is>
          <t>Customer 17</t>
        </is>
      </c>
      <c r="C86" t="inlineStr">
        <is>
          <t>2026-08-01</t>
        </is>
      </c>
      <c r="D86" t="n">
        <v>52577.43</v>
      </c>
    </row>
    <row r="87">
      <c r="A87" t="inlineStr">
        <is>
          <t>INV-00089</t>
        </is>
      </c>
      <c r="B87" t="inlineStr">
        <is>
          <t>Customer 25</t>
        </is>
      </c>
      <c r="C87" t="inlineStr">
        <is>
          <t>2026-09-06</t>
        </is>
      </c>
      <c r="D87" t="n">
        <v>23293.42</v>
      </c>
    </row>
    <row r="88">
      <c r="A88" t="inlineStr">
        <is>
          <t>INV-00090</t>
        </is>
      </c>
      <c r="B88" t="inlineStr">
        <is>
          <t>Customer 01</t>
        </is>
      </c>
      <c r="C88" t="inlineStr">
        <is>
          <t>2026-07-21</t>
        </is>
      </c>
      <c r="D88" t="n">
        <v>72295.99000000001</v>
      </c>
    </row>
    <row r="89">
      <c r="A89" t="inlineStr">
        <is>
          <t>INV-00091</t>
        </is>
      </c>
      <c r="B89" t="inlineStr">
        <is>
          <t>Customer 20</t>
        </is>
      </c>
      <c r="C89" t="inlineStr">
        <is>
          <t>2026-08-20</t>
        </is>
      </c>
      <c r="D89" t="n">
        <v>23789.91</v>
      </c>
    </row>
    <row r="90">
      <c r="A90" t="inlineStr">
        <is>
          <t>INV-00092</t>
        </is>
      </c>
      <c r="B90" t="inlineStr">
        <is>
          <t>Customer 06</t>
        </is>
      </c>
      <c r="C90" t="inlineStr">
        <is>
          <t>2026-09-09</t>
        </is>
      </c>
      <c r="D90" t="n">
        <v>53873.08</v>
      </c>
    </row>
    <row r="91">
      <c r="A91" t="inlineStr">
        <is>
          <t>INV-00093</t>
        </is>
      </c>
      <c r="B91" t="inlineStr">
        <is>
          <t>Customer 34</t>
        </is>
      </c>
      <c r="C91" t="inlineStr">
        <is>
          <t>2026-08-08</t>
        </is>
      </c>
      <c r="D91" t="n">
        <v>13561.23</v>
      </c>
    </row>
    <row r="92">
      <c r="A92" t="inlineStr">
        <is>
          <t>INV-00094</t>
        </is>
      </c>
      <c r="B92" t="inlineStr">
        <is>
          <t>Customer 25</t>
        </is>
      </c>
      <c r="C92" t="inlineStr">
        <is>
          <t>2026-08-29</t>
        </is>
      </c>
      <c r="D92" t="n">
        <v>46687.54</v>
      </c>
    </row>
    <row r="93">
      <c r="A93" t="inlineStr">
        <is>
          <t>INV-00095</t>
        </is>
      </c>
      <c r="B93" t="inlineStr">
        <is>
          <t>Customer 11</t>
        </is>
      </c>
      <c r="C93" t="inlineStr">
        <is>
          <t>2026-08-25</t>
        </is>
      </c>
      <c r="D93" t="n">
        <v>73734.06</v>
      </c>
    </row>
    <row r="94">
      <c r="A94" t="inlineStr">
        <is>
          <t>INV-00096</t>
        </is>
      </c>
      <c r="B94" t="inlineStr">
        <is>
          <t>Customer 22</t>
        </is>
      </c>
      <c r="C94" t="inlineStr">
        <is>
          <t>2026-08-17</t>
        </is>
      </c>
      <c r="D94" t="n">
        <v>15833.49</v>
      </c>
    </row>
    <row r="95">
      <c r="A95" t="inlineStr">
        <is>
          <t>INV-00097</t>
        </is>
      </c>
      <c r="B95" t="inlineStr">
        <is>
          <t>Customer 13</t>
        </is>
      </c>
      <c r="C95" t="inlineStr">
        <is>
          <t>2026-08-03</t>
        </is>
      </c>
      <c r="D95" t="n">
        <v>48297.51</v>
      </c>
    </row>
    <row r="96">
      <c r="A96" t="inlineStr">
        <is>
          <t>INV-00098</t>
        </is>
      </c>
      <c r="B96" t="inlineStr">
        <is>
          <t>Customer 02</t>
        </is>
      </c>
      <c r="C96" t="inlineStr">
        <is>
          <t>2026-08-11</t>
        </is>
      </c>
      <c r="D96" t="n">
        <v>6608.66</v>
      </c>
    </row>
    <row r="97">
      <c r="A97" t="inlineStr">
        <is>
          <t>INV-00099</t>
        </is>
      </c>
      <c r="B97" t="inlineStr">
        <is>
          <t>Customer 10</t>
        </is>
      </c>
      <c r="C97" t="inlineStr">
        <is>
          <t>2026-09-03</t>
        </is>
      </c>
      <c r="D97" t="n">
        <v>38843.19</v>
      </c>
    </row>
    <row r="98">
      <c r="A98" t="inlineStr">
        <is>
          <t>INV-00100</t>
        </is>
      </c>
      <c r="B98" t="inlineStr">
        <is>
          <t>Customer 39</t>
        </is>
      </c>
      <c r="C98" t="inlineStr">
        <is>
          <t>2026-08-05</t>
        </is>
      </c>
      <c r="D98" t="n">
        <v>15456.69</v>
      </c>
    </row>
    <row r="99">
      <c r="A99" t="inlineStr">
        <is>
          <t>INV-00101</t>
        </is>
      </c>
      <c r="B99" t="inlineStr">
        <is>
          <t>Customer 11</t>
        </is>
      </c>
      <c r="C99" t="inlineStr">
        <is>
          <t>2026-08-20</t>
        </is>
      </c>
      <c r="D99" t="n">
        <v>53856.06</v>
      </c>
    </row>
    <row r="100">
      <c r="A100" t="inlineStr">
        <is>
          <t>INV-00102</t>
        </is>
      </c>
      <c r="B100" t="inlineStr">
        <is>
          <t>Customer 28</t>
        </is>
      </c>
      <c r="C100" t="inlineStr">
        <is>
          <t>2026-08-28</t>
        </is>
      </c>
      <c r="D100" t="n">
        <v>35288.94</v>
      </c>
    </row>
    <row r="101">
      <c r="A101" t="inlineStr">
        <is>
          <t>INV-00103</t>
        </is>
      </c>
      <c r="B101" t="inlineStr">
        <is>
          <t>Customer 18</t>
        </is>
      </c>
      <c r="C101" t="inlineStr">
        <is>
          <t>2026-07-23</t>
        </is>
      </c>
      <c r="D101" t="n">
        <v>46473.38</v>
      </c>
    </row>
    <row r="102">
      <c r="A102" t="inlineStr">
        <is>
          <t>INV-00104</t>
        </is>
      </c>
      <c r="B102" t="inlineStr">
        <is>
          <t>Customer 40</t>
        </is>
      </c>
      <c r="C102" t="inlineStr">
        <is>
          <t>2026-08-04</t>
        </is>
      </c>
      <c r="D102" t="n">
        <v>50241.28</v>
      </c>
    </row>
    <row r="103">
      <c r="A103" t="inlineStr">
        <is>
          <t>INV-00105</t>
        </is>
      </c>
      <c r="B103" t="inlineStr">
        <is>
          <t>Customer 14</t>
        </is>
      </c>
      <c r="C103" t="inlineStr">
        <is>
          <t>2026-07-05</t>
        </is>
      </c>
      <c r="D103" t="n">
        <v>7872.41</v>
      </c>
    </row>
    <row r="104">
      <c r="A104" t="inlineStr">
        <is>
          <t>INV-00106</t>
        </is>
      </c>
      <c r="B104" t="inlineStr">
        <is>
          <t>Customer 24</t>
        </is>
      </c>
      <c r="C104" t="inlineStr">
        <is>
          <t>2026-07-03</t>
        </is>
      </c>
      <c r="D104" t="n">
        <v>26619.62</v>
      </c>
    </row>
    <row r="105">
      <c r="A105" t="inlineStr">
        <is>
          <t>INV-00107</t>
        </is>
      </c>
      <c r="B105" t="inlineStr">
        <is>
          <t>Customer 38</t>
        </is>
      </c>
      <c r="C105" t="inlineStr">
        <is>
          <t>2026-07-06</t>
        </is>
      </c>
      <c r="D105" t="n">
        <v>6078.43</v>
      </c>
    </row>
    <row r="106">
      <c r="A106" t="inlineStr">
        <is>
          <t>INV-00108</t>
        </is>
      </c>
      <c r="B106" t="inlineStr">
        <is>
          <t>Customer 29</t>
        </is>
      </c>
      <c r="C106" t="inlineStr">
        <is>
          <t>2026-08-27</t>
        </is>
      </c>
      <c r="D106" t="n">
        <v>30162.31</v>
      </c>
    </row>
    <row r="107">
      <c r="A107" t="inlineStr">
        <is>
          <t>INV-00109</t>
        </is>
      </c>
      <c r="B107" t="inlineStr">
        <is>
          <t>Customer 01</t>
        </is>
      </c>
      <c r="C107" t="inlineStr">
        <is>
          <t>2026-09-08</t>
        </is>
      </c>
      <c r="D107" t="n">
        <v>18396.94</v>
      </c>
    </row>
    <row r="108">
      <c r="A108" t="inlineStr">
        <is>
          <t>INV-00110</t>
        </is>
      </c>
      <c r="B108" t="inlineStr">
        <is>
          <t>Customer 20</t>
        </is>
      </c>
      <c r="C108" t="inlineStr">
        <is>
          <t>2026-07-25</t>
        </is>
      </c>
      <c r="D108" t="n">
        <v>11517.18</v>
      </c>
    </row>
    <row r="109">
      <c r="A109" t="inlineStr">
        <is>
          <t>INV-00111</t>
        </is>
      </c>
      <c r="B109" t="inlineStr">
        <is>
          <t>Customer 01</t>
        </is>
      </c>
      <c r="C109" t="inlineStr">
        <is>
          <t>2026-08-17</t>
        </is>
      </c>
      <c r="D109" t="n">
        <v>34330.78</v>
      </c>
    </row>
    <row r="110">
      <c r="A110" t="inlineStr">
        <is>
          <t>INV-00112</t>
        </is>
      </c>
      <c r="B110" t="inlineStr">
        <is>
          <t>Customer 37</t>
        </is>
      </c>
      <c r="C110" t="inlineStr">
        <is>
          <t>2026-08-25</t>
        </is>
      </c>
      <c r="D110" t="n">
        <v>12882.12</v>
      </c>
    </row>
    <row r="111">
      <c r="A111" t="inlineStr">
        <is>
          <t>INV-00113</t>
        </is>
      </c>
      <c r="B111" t="inlineStr">
        <is>
          <t>Customer 04</t>
        </is>
      </c>
      <c r="C111" t="inlineStr">
        <is>
          <t>2026-08-09</t>
        </is>
      </c>
      <c r="D111" t="n">
        <v>39941.46</v>
      </c>
    </row>
    <row r="112">
      <c r="A112" t="inlineStr">
        <is>
          <t>INV-00114</t>
        </is>
      </c>
      <c r="B112" t="inlineStr">
        <is>
          <t>Customer 26</t>
        </is>
      </c>
      <c r="C112" t="inlineStr">
        <is>
          <t>2026-09-09</t>
        </is>
      </c>
      <c r="D112" t="n">
        <v>14474.25</v>
      </c>
    </row>
    <row r="113">
      <c r="A113" t="inlineStr">
        <is>
          <t>INV-00115</t>
        </is>
      </c>
      <c r="B113" t="inlineStr">
        <is>
          <t>Customer 37</t>
        </is>
      </c>
      <c r="C113" t="inlineStr">
        <is>
          <t>2026-09-13</t>
        </is>
      </c>
      <c r="D113" t="n">
        <v>18702.08</v>
      </c>
    </row>
    <row r="114">
      <c r="A114" t="inlineStr">
        <is>
          <t>INV-00116</t>
        </is>
      </c>
      <c r="B114" t="inlineStr">
        <is>
          <t>Customer 02</t>
        </is>
      </c>
      <c r="C114" t="inlineStr">
        <is>
          <t>2026-09-13</t>
        </is>
      </c>
      <c r="D114" t="n">
        <v>69424.53999999999</v>
      </c>
    </row>
    <row r="115">
      <c r="A115" t="inlineStr">
        <is>
          <t>INV-00117</t>
        </is>
      </c>
      <c r="B115" t="inlineStr">
        <is>
          <t>Customer 28</t>
        </is>
      </c>
      <c r="C115" t="inlineStr">
        <is>
          <t>2026-07-25</t>
        </is>
      </c>
      <c r="D115" t="n">
        <v>5939.39</v>
      </c>
    </row>
    <row r="116">
      <c r="A116" t="inlineStr">
        <is>
          <t>INV-00118</t>
        </is>
      </c>
      <c r="B116" t="inlineStr">
        <is>
          <t>Customer 32</t>
        </is>
      </c>
      <c r="C116" t="inlineStr">
        <is>
          <t>2026-09-06</t>
        </is>
      </c>
      <c r="D116" t="n">
        <v>11831.83</v>
      </c>
    </row>
    <row r="117">
      <c r="A117" t="inlineStr">
        <is>
          <t>INV-00119</t>
        </is>
      </c>
      <c r="B117" t="inlineStr">
        <is>
          <t>Customer 40</t>
        </is>
      </c>
      <c r="C117" t="inlineStr">
        <is>
          <t>2026-09-01</t>
        </is>
      </c>
      <c r="D117" t="n">
        <v>45685.74</v>
      </c>
    </row>
    <row r="118">
      <c r="A118" t="inlineStr">
        <is>
          <t>INV-00120</t>
        </is>
      </c>
      <c r="B118" t="inlineStr">
        <is>
          <t>Customer 22</t>
        </is>
      </c>
      <c r="C118" t="inlineStr">
        <is>
          <t>2026-07-20</t>
        </is>
      </c>
      <c r="D118" t="n">
        <v>35597.59</v>
      </c>
    </row>
    <row r="119">
      <c r="A119" t="inlineStr">
        <is>
          <t>INV-90001</t>
        </is>
      </c>
      <c r="B119" t="inlineStr">
        <is>
          <t>Customer 07</t>
        </is>
      </c>
      <c r="C119" t="inlineStr">
        <is>
          <t>2026-08-14</t>
        </is>
      </c>
      <c r="D119" t="n">
        <v>12500</v>
      </c>
    </row>
    <row r="120">
      <c r="A120" t="inlineStr">
        <is>
          <t>INV-90002</t>
        </is>
      </c>
      <c r="B120" t="inlineStr">
        <is>
          <t>Customer 22</t>
        </is>
      </c>
      <c r="C120" t="inlineStr">
        <is>
          <t>2026-09-02</t>
        </is>
      </c>
      <c r="D120" t="n">
        <v>8320.5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Invoice ID</t>
        </is>
      </c>
      <c r="B1" s="1" t="inlineStr">
        <is>
          <t>Billing Amount</t>
        </is>
      </c>
      <c r="C1" s="1" t="inlineStr">
        <is>
          <t>ERP Amount</t>
        </is>
      </c>
      <c r="D1" s="1" t="inlineStr">
        <is>
          <t>Variance</t>
        </is>
      </c>
      <c r="E1" s="1" t="inlineStr">
        <is>
          <t>Status</t>
        </is>
      </c>
    </row>
    <row r="2">
      <c r="A2" t="inlineStr">
        <is>
          <t>INV-00001</t>
        </is>
      </c>
      <c r="B2">
        <f>IFERROR(INDEX(Billing_Extract!$D$2:$D$121,MATCH($A2,Billing_Extract!$A$2:$A$121,0)),"—")</f>
        <v/>
      </c>
      <c r="C2">
        <f>IFERROR(INDEX(ERP_Extract!$D$2:$D$120,MATCH($A2,ERP_Extract!$A$2:$A$120,0)),"—")</f>
        <v/>
      </c>
      <c r="D2">
        <f>IF(OR(B2="—",C2="—"),"—",B2-C2)</f>
        <v/>
      </c>
      <c r="E2">
        <f>IF(B2="—","Missing in Billing",IF(C2="—","Missing in ERP",IF(D2=0,"✓ Match","⚠ Investigate")))</f>
        <v/>
      </c>
    </row>
    <row r="3">
      <c r="A3" t="inlineStr">
        <is>
          <t>INV-00002</t>
        </is>
      </c>
      <c r="B3">
        <f>IFERROR(INDEX(Billing_Extract!$D$2:$D$121,MATCH($A3,Billing_Extract!$A$2:$A$121,0)),"—")</f>
        <v/>
      </c>
      <c r="C3">
        <f>IFERROR(INDEX(ERP_Extract!$D$2:$D$120,MATCH($A3,ERP_Extract!$A$2:$A$120,0)),"—")</f>
        <v/>
      </c>
      <c r="D3">
        <f>IF(OR(B3="—",C3="—"),"—",B3-C3)</f>
        <v/>
      </c>
      <c r="E3">
        <f>IF(B3="—","Missing in Billing",IF(C3="—","Missing in ERP",IF(D3=0,"✓ Match","⚠ Investigate")))</f>
        <v/>
      </c>
    </row>
    <row r="4">
      <c r="A4" t="inlineStr">
        <is>
          <t>INV-00003</t>
        </is>
      </c>
      <c r="B4">
        <f>IFERROR(INDEX(Billing_Extract!$D$2:$D$121,MATCH($A4,Billing_Extract!$A$2:$A$121,0)),"—")</f>
        <v/>
      </c>
      <c r="C4">
        <f>IFERROR(INDEX(ERP_Extract!$D$2:$D$120,MATCH($A4,ERP_Extract!$A$2:$A$120,0)),"—")</f>
        <v/>
      </c>
      <c r="D4">
        <f>IF(OR(B4="—",C4="—"),"—",B4-C4)</f>
        <v/>
      </c>
      <c r="E4">
        <f>IF(B4="—","Missing in Billing",IF(C4="—","Missing in ERP",IF(D4=0,"✓ Match","⚠ Investigate")))</f>
        <v/>
      </c>
    </row>
    <row r="5">
      <c r="A5" t="inlineStr">
        <is>
          <t>INV-00004</t>
        </is>
      </c>
      <c r="B5">
        <f>IFERROR(INDEX(Billing_Extract!$D$2:$D$121,MATCH($A5,Billing_Extract!$A$2:$A$121,0)),"—")</f>
        <v/>
      </c>
      <c r="C5">
        <f>IFERROR(INDEX(ERP_Extract!$D$2:$D$120,MATCH($A5,ERP_Extract!$A$2:$A$120,0)),"—")</f>
        <v/>
      </c>
      <c r="D5">
        <f>IF(OR(B5="—",C5="—"),"—",B5-C5)</f>
        <v/>
      </c>
      <c r="E5">
        <f>IF(B5="—","Missing in Billing",IF(C5="—","Missing in ERP",IF(D5=0,"✓ Match","⚠ Investigate")))</f>
        <v/>
      </c>
    </row>
    <row r="6">
      <c r="A6" t="inlineStr">
        <is>
          <t>INV-00005</t>
        </is>
      </c>
      <c r="B6">
        <f>IFERROR(INDEX(Billing_Extract!$D$2:$D$121,MATCH($A6,Billing_Extract!$A$2:$A$121,0)),"—")</f>
        <v/>
      </c>
      <c r="C6">
        <f>IFERROR(INDEX(ERP_Extract!$D$2:$D$120,MATCH($A6,ERP_Extract!$A$2:$A$120,0)),"—")</f>
        <v/>
      </c>
      <c r="D6">
        <f>IF(OR(B6="—",C6="—"),"—",B6-C6)</f>
        <v/>
      </c>
      <c r="E6">
        <f>IF(B6="—","Missing in Billing",IF(C6="—","Missing in ERP",IF(D6=0,"✓ Match","⚠ Investigate")))</f>
        <v/>
      </c>
    </row>
    <row r="7">
      <c r="A7" t="inlineStr">
        <is>
          <t>INV-00006</t>
        </is>
      </c>
      <c r="B7">
        <f>IFERROR(INDEX(Billing_Extract!$D$2:$D$121,MATCH($A7,Billing_Extract!$A$2:$A$121,0)),"—")</f>
        <v/>
      </c>
      <c r="C7">
        <f>IFERROR(INDEX(ERP_Extract!$D$2:$D$120,MATCH($A7,ERP_Extract!$A$2:$A$120,0)),"—")</f>
        <v/>
      </c>
      <c r="D7">
        <f>IF(OR(B7="—",C7="—"),"—",B7-C7)</f>
        <v/>
      </c>
      <c r="E7">
        <f>IF(B7="—","Missing in Billing",IF(C7="—","Missing in ERP",IF(D7=0,"✓ Match","⚠ Investigate")))</f>
        <v/>
      </c>
    </row>
    <row r="8">
      <c r="A8" t="inlineStr">
        <is>
          <t>INV-00007</t>
        </is>
      </c>
      <c r="B8">
        <f>IFERROR(INDEX(Billing_Extract!$D$2:$D$121,MATCH($A8,Billing_Extract!$A$2:$A$121,0)),"—")</f>
        <v/>
      </c>
      <c r="C8">
        <f>IFERROR(INDEX(ERP_Extract!$D$2:$D$120,MATCH($A8,ERP_Extract!$A$2:$A$120,0)),"—")</f>
        <v/>
      </c>
      <c r="D8">
        <f>IF(OR(B8="—",C8="—"),"—",B8-C8)</f>
        <v/>
      </c>
      <c r="E8">
        <f>IF(B8="—","Missing in Billing",IF(C8="—","Missing in ERP",IF(D8=0,"✓ Match","⚠ Investigate")))</f>
        <v/>
      </c>
    </row>
    <row r="9">
      <c r="A9" t="inlineStr">
        <is>
          <t>INV-00008</t>
        </is>
      </c>
      <c r="B9">
        <f>IFERROR(INDEX(Billing_Extract!$D$2:$D$121,MATCH($A9,Billing_Extract!$A$2:$A$121,0)),"—")</f>
        <v/>
      </c>
      <c r="C9">
        <f>IFERROR(INDEX(ERP_Extract!$D$2:$D$120,MATCH($A9,ERP_Extract!$A$2:$A$120,0)),"—")</f>
        <v/>
      </c>
      <c r="D9">
        <f>IF(OR(B9="—",C9="—"),"—",B9-C9)</f>
        <v/>
      </c>
      <c r="E9">
        <f>IF(B9="—","Missing in Billing",IF(C9="—","Missing in ERP",IF(D9=0,"✓ Match","⚠ Investigate")))</f>
        <v/>
      </c>
    </row>
    <row r="10">
      <c r="A10" t="inlineStr">
        <is>
          <t>INV-00009</t>
        </is>
      </c>
      <c r="B10">
        <f>IFERROR(INDEX(Billing_Extract!$D$2:$D$121,MATCH($A10,Billing_Extract!$A$2:$A$121,0)),"—")</f>
        <v/>
      </c>
      <c r="C10">
        <f>IFERROR(INDEX(ERP_Extract!$D$2:$D$120,MATCH($A10,ERP_Extract!$A$2:$A$120,0)),"—")</f>
        <v/>
      </c>
      <c r="D10">
        <f>IF(OR(B10="—",C10="—"),"—",B10-C10)</f>
        <v/>
      </c>
      <c r="E10">
        <f>IF(B10="—","Missing in Billing",IF(C10="—","Missing in ERP",IF(D10=0,"✓ Match","⚠ Investigate")))</f>
        <v/>
      </c>
    </row>
    <row r="11">
      <c r="A11" t="inlineStr">
        <is>
          <t>INV-00010</t>
        </is>
      </c>
      <c r="B11">
        <f>IFERROR(INDEX(Billing_Extract!$D$2:$D$121,MATCH($A11,Billing_Extract!$A$2:$A$121,0)),"—")</f>
        <v/>
      </c>
      <c r="C11">
        <f>IFERROR(INDEX(ERP_Extract!$D$2:$D$120,MATCH($A11,ERP_Extract!$A$2:$A$120,0)),"—")</f>
        <v/>
      </c>
      <c r="D11">
        <f>IF(OR(B11="—",C11="—"),"—",B11-C11)</f>
        <v/>
      </c>
      <c r="E11">
        <f>IF(B11="—","Missing in Billing",IF(C11="—","Missing in ERP",IF(D11=0,"✓ Match","⚠ Investigate")))</f>
        <v/>
      </c>
    </row>
    <row r="12">
      <c r="A12" t="inlineStr">
        <is>
          <t>INV-00011</t>
        </is>
      </c>
      <c r="B12">
        <f>IFERROR(INDEX(Billing_Extract!$D$2:$D$121,MATCH($A12,Billing_Extract!$A$2:$A$121,0)),"—")</f>
        <v/>
      </c>
      <c r="C12">
        <f>IFERROR(INDEX(ERP_Extract!$D$2:$D$120,MATCH($A12,ERP_Extract!$A$2:$A$120,0)),"—")</f>
        <v/>
      </c>
      <c r="D12">
        <f>IF(OR(B12="—",C12="—"),"—",B12-C12)</f>
        <v/>
      </c>
      <c r="E12">
        <f>IF(B12="—","Missing in Billing",IF(C12="—","Missing in ERP",IF(D12=0,"✓ Match","⚠ Investigate")))</f>
        <v/>
      </c>
    </row>
    <row r="13">
      <c r="A13" t="inlineStr">
        <is>
          <t>INV-00012</t>
        </is>
      </c>
      <c r="B13">
        <f>IFERROR(INDEX(Billing_Extract!$D$2:$D$121,MATCH($A13,Billing_Extract!$A$2:$A$121,0)),"—")</f>
        <v/>
      </c>
      <c r="C13">
        <f>IFERROR(INDEX(ERP_Extract!$D$2:$D$120,MATCH($A13,ERP_Extract!$A$2:$A$120,0)),"—")</f>
        <v/>
      </c>
      <c r="D13">
        <f>IF(OR(B13="—",C13="—"),"—",B13-C13)</f>
        <v/>
      </c>
      <c r="E13">
        <f>IF(B13="—","Missing in Billing",IF(C13="—","Missing in ERP",IF(D13=0,"✓ Match","⚠ Investigate")))</f>
        <v/>
      </c>
    </row>
    <row r="14">
      <c r="A14" t="inlineStr">
        <is>
          <t>INV-00013</t>
        </is>
      </c>
      <c r="B14">
        <f>IFERROR(INDEX(Billing_Extract!$D$2:$D$121,MATCH($A14,Billing_Extract!$A$2:$A$121,0)),"—")</f>
        <v/>
      </c>
      <c r="C14">
        <f>IFERROR(INDEX(ERP_Extract!$D$2:$D$120,MATCH($A14,ERP_Extract!$A$2:$A$120,0)),"—")</f>
        <v/>
      </c>
      <c r="D14">
        <f>IF(OR(B14="—",C14="—"),"—",B14-C14)</f>
        <v/>
      </c>
      <c r="E14">
        <f>IF(B14="—","Missing in Billing",IF(C14="—","Missing in ERP",IF(D14=0,"✓ Match","⚠ Investigate")))</f>
        <v/>
      </c>
    </row>
    <row r="15">
      <c r="A15" t="inlineStr">
        <is>
          <t>INV-00014</t>
        </is>
      </c>
      <c r="B15">
        <f>IFERROR(INDEX(Billing_Extract!$D$2:$D$121,MATCH($A15,Billing_Extract!$A$2:$A$121,0)),"—")</f>
        <v/>
      </c>
      <c r="C15">
        <f>IFERROR(INDEX(ERP_Extract!$D$2:$D$120,MATCH($A15,ERP_Extract!$A$2:$A$120,0)),"—")</f>
        <v/>
      </c>
      <c r="D15">
        <f>IF(OR(B15="—",C15="—"),"—",B15-C15)</f>
        <v/>
      </c>
      <c r="E15">
        <f>IF(B15="—","Missing in Billing",IF(C15="—","Missing in ERP",IF(D15=0,"✓ Match","⚠ Investigate")))</f>
        <v/>
      </c>
    </row>
    <row r="16">
      <c r="A16" t="inlineStr">
        <is>
          <t>INV-00015</t>
        </is>
      </c>
      <c r="B16">
        <f>IFERROR(INDEX(Billing_Extract!$D$2:$D$121,MATCH($A16,Billing_Extract!$A$2:$A$121,0)),"—")</f>
        <v/>
      </c>
      <c r="C16">
        <f>IFERROR(INDEX(ERP_Extract!$D$2:$D$120,MATCH($A16,ERP_Extract!$A$2:$A$120,0)),"—")</f>
        <v/>
      </c>
      <c r="D16">
        <f>IF(OR(B16="—",C16="—"),"—",B16-C16)</f>
        <v/>
      </c>
      <c r="E16">
        <f>IF(B16="—","Missing in Billing",IF(C16="—","Missing in ERP",IF(D16=0,"✓ Match","⚠ Investigate")))</f>
        <v/>
      </c>
    </row>
    <row r="17">
      <c r="A17" t="inlineStr">
        <is>
          <t>INV-00016</t>
        </is>
      </c>
      <c r="B17">
        <f>IFERROR(INDEX(Billing_Extract!$D$2:$D$121,MATCH($A17,Billing_Extract!$A$2:$A$121,0)),"—")</f>
        <v/>
      </c>
      <c r="C17">
        <f>IFERROR(INDEX(ERP_Extract!$D$2:$D$120,MATCH($A17,ERP_Extract!$A$2:$A$120,0)),"—")</f>
        <v/>
      </c>
      <c r="D17">
        <f>IF(OR(B17="—",C17="—"),"—",B17-C17)</f>
        <v/>
      </c>
      <c r="E17">
        <f>IF(B17="—","Missing in Billing",IF(C17="—","Missing in ERP",IF(D17=0,"✓ Match","⚠ Investigate")))</f>
        <v/>
      </c>
    </row>
    <row r="18">
      <c r="A18" t="inlineStr">
        <is>
          <t>INV-00017</t>
        </is>
      </c>
      <c r="B18">
        <f>IFERROR(INDEX(Billing_Extract!$D$2:$D$121,MATCH($A18,Billing_Extract!$A$2:$A$121,0)),"—")</f>
        <v/>
      </c>
      <c r="C18">
        <f>IFERROR(INDEX(ERP_Extract!$D$2:$D$120,MATCH($A18,ERP_Extract!$A$2:$A$120,0)),"—")</f>
        <v/>
      </c>
      <c r="D18">
        <f>IF(OR(B18="—",C18="—"),"—",B18-C18)</f>
        <v/>
      </c>
      <c r="E18">
        <f>IF(B18="—","Missing in Billing",IF(C18="—","Missing in ERP",IF(D18=0,"✓ Match","⚠ Investigate")))</f>
        <v/>
      </c>
    </row>
    <row r="19">
      <c r="A19" t="inlineStr">
        <is>
          <t>INV-00018</t>
        </is>
      </c>
      <c r="B19">
        <f>IFERROR(INDEX(Billing_Extract!$D$2:$D$121,MATCH($A19,Billing_Extract!$A$2:$A$121,0)),"—")</f>
        <v/>
      </c>
      <c r="C19">
        <f>IFERROR(INDEX(ERP_Extract!$D$2:$D$120,MATCH($A19,ERP_Extract!$A$2:$A$120,0)),"—")</f>
        <v/>
      </c>
      <c r="D19">
        <f>IF(OR(B19="—",C19="—"),"—",B19-C19)</f>
        <v/>
      </c>
      <c r="E19">
        <f>IF(B19="—","Missing in Billing",IF(C19="—","Missing in ERP",IF(D19=0,"✓ Match","⚠ Investigate")))</f>
        <v/>
      </c>
    </row>
    <row r="20">
      <c r="A20" t="inlineStr">
        <is>
          <t>INV-00019</t>
        </is>
      </c>
      <c r="B20">
        <f>IFERROR(INDEX(Billing_Extract!$D$2:$D$121,MATCH($A20,Billing_Extract!$A$2:$A$121,0)),"—")</f>
        <v/>
      </c>
      <c r="C20">
        <f>IFERROR(INDEX(ERP_Extract!$D$2:$D$120,MATCH($A20,ERP_Extract!$A$2:$A$120,0)),"—")</f>
        <v/>
      </c>
      <c r="D20">
        <f>IF(OR(B20="—",C20="—"),"—",B20-C20)</f>
        <v/>
      </c>
      <c r="E20">
        <f>IF(B20="—","Missing in Billing",IF(C20="—","Missing in ERP",IF(D20=0,"✓ Match","⚠ Investigate")))</f>
        <v/>
      </c>
    </row>
    <row r="21">
      <c r="A21" t="inlineStr">
        <is>
          <t>INV-00020</t>
        </is>
      </c>
      <c r="B21">
        <f>IFERROR(INDEX(Billing_Extract!$D$2:$D$121,MATCH($A21,Billing_Extract!$A$2:$A$121,0)),"—")</f>
        <v/>
      </c>
      <c r="C21">
        <f>IFERROR(INDEX(ERP_Extract!$D$2:$D$120,MATCH($A21,ERP_Extract!$A$2:$A$120,0)),"—")</f>
        <v/>
      </c>
      <c r="D21">
        <f>IF(OR(B21="—",C21="—"),"—",B21-C21)</f>
        <v/>
      </c>
      <c r="E21">
        <f>IF(B21="—","Missing in Billing",IF(C21="—","Missing in ERP",IF(D21=0,"✓ Match","⚠ Investigate")))</f>
        <v/>
      </c>
    </row>
    <row r="22">
      <c r="A22" t="inlineStr">
        <is>
          <t>INV-00021</t>
        </is>
      </c>
      <c r="B22">
        <f>IFERROR(INDEX(Billing_Extract!$D$2:$D$121,MATCH($A22,Billing_Extract!$A$2:$A$121,0)),"—")</f>
        <v/>
      </c>
      <c r="C22">
        <f>IFERROR(INDEX(ERP_Extract!$D$2:$D$120,MATCH($A22,ERP_Extract!$A$2:$A$120,0)),"—")</f>
        <v/>
      </c>
      <c r="D22">
        <f>IF(OR(B22="—",C22="—"),"—",B22-C22)</f>
        <v/>
      </c>
      <c r="E22">
        <f>IF(B22="—","Missing in Billing",IF(C22="—","Missing in ERP",IF(D22=0,"✓ Match","⚠ Investigate")))</f>
        <v/>
      </c>
    </row>
    <row r="23">
      <c r="A23" t="inlineStr">
        <is>
          <t>INV-00022</t>
        </is>
      </c>
      <c r="B23">
        <f>IFERROR(INDEX(Billing_Extract!$D$2:$D$121,MATCH($A23,Billing_Extract!$A$2:$A$121,0)),"—")</f>
        <v/>
      </c>
      <c r="C23">
        <f>IFERROR(INDEX(ERP_Extract!$D$2:$D$120,MATCH($A23,ERP_Extract!$A$2:$A$120,0)),"—")</f>
        <v/>
      </c>
      <c r="D23">
        <f>IF(OR(B23="—",C23="—"),"—",B23-C23)</f>
        <v/>
      </c>
      <c r="E23">
        <f>IF(B23="—","Missing in Billing",IF(C23="—","Missing in ERP",IF(D23=0,"✓ Match","⚠ Investigate")))</f>
        <v/>
      </c>
    </row>
    <row r="24">
      <c r="A24" t="inlineStr">
        <is>
          <t>INV-00023</t>
        </is>
      </c>
      <c r="B24">
        <f>IFERROR(INDEX(Billing_Extract!$D$2:$D$121,MATCH($A24,Billing_Extract!$A$2:$A$121,0)),"—")</f>
        <v/>
      </c>
      <c r="C24">
        <f>IFERROR(INDEX(ERP_Extract!$D$2:$D$120,MATCH($A24,ERP_Extract!$A$2:$A$120,0)),"—")</f>
        <v/>
      </c>
      <c r="D24">
        <f>IF(OR(B24="—",C24="—"),"—",B24-C24)</f>
        <v/>
      </c>
      <c r="E24">
        <f>IF(B24="—","Missing in Billing",IF(C24="—","Missing in ERP",IF(D24=0,"✓ Match","⚠ Investigate")))</f>
        <v/>
      </c>
    </row>
    <row r="25">
      <c r="A25" t="inlineStr">
        <is>
          <t>INV-00024</t>
        </is>
      </c>
      <c r="B25">
        <f>IFERROR(INDEX(Billing_Extract!$D$2:$D$121,MATCH($A25,Billing_Extract!$A$2:$A$121,0)),"—")</f>
        <v/>
      </c>
      <c r="C25">
        <f>IFERROR(INDEX(ERP_Extract!$D$2:$D$120,MATCH($A25,ERP_Extract!$A$2:$A$120,0)),"—")</f>
        <v/>
      </c>
      <c r="D25">
        <f>IF(OR(B25="—",C25="—"),"—",B25-C25)</f>
        <v/>
      </c>
      <c r="E25">
        <f>IF(B25="—","Missing in Billing",IF(C25="—","Missing in ERP",IF(D25=0,"✓ Match","⚠ Investigate")))</f>
        <v/>
      </c>
    </row>
    <row r="26">
      <c r="A26" t="inlineStr">
        <is>
          <t>INV-00025</t>
        </is>
      </c>
      <c r="B26">
        <f>IFERROR(INDEX(Billing_Extract!$D$2:$D$121,MATCH($A26,Billing_Extract!$A$2:$A$121,0)),"—")</f>
        <v/>
      </c>
      <c r="C26">
        <f>IFERROR(INDEX(ERP_Extract!$D$2:$D$120,MATCH($A26,ERP_Extract!$A$2:$A$120,0)),"—")</f>
        <v/>
      </c>
      <c r="D26">
        <f>IF(OR(B26="—",C26="—"),"—",B26-C26)</f>
        <v/>
      </c>
      <c r="E26">
        <f>IF(B26="—","Missing in Billing",IF(C26="—","Missing in ERP",IF(D26=0,"✓ Match","⚠ Investigate")))</f>
        <v/>
      </c>
    </row>
    <row r="27">
      <c r="A27" t="inlineStr">
        <is>
          <t>INV-00026</t>
        </is>
      </c>
      <c r="B27">
        <f>IFERROR(INDEX(Billing_Extract!$D$2:$D$121,MATCH($A27,Billing_Extract!$A$2:$A$121,0)),"—")</f>
        <v/>
      </c>
      <c r="C27">
        <f>IFERROR(INDEX(ERP_Extract!$D$2:$D$120,MATCH($A27,ERP_Extract!$A$2:$A$120,0)),"—")</f>
        <v/>
      </c>
      <c r="D27">
        <f>IF(OR(B27="—",C27="—"),"—",B27-C27)</f>
        <v/>
      </c>
      <c r="E27">
        <f>IF(B27="—","Missing in Billing",IF(C27="—","Missing in ERP",IF(D27=0,"✓ Match","⚠ Investigate")))</f>
        <v/>
      </c>
    </row>
    <row r="28">
      <c r="A28" t="inlineStr">
        <is>
          <t>INV-00027</t>
        </is>
      </c>
      <c r="B28">
        <f>IFERROR(INDEX(Billing_Extract!$D$2:$D$121,MATCH($A28,Billing_Extract!$A$2:$A$121,0)),"—")</f>
        <v/>
      </c>
      <c r="C28">
        <f>IFERROR(INDEX(ERP_Extract!$D$2:$D$120,MATCH($A28,ERP_Extract!$A$2:$A$120,0)),"—")</f>
        <v/>
      </c>
      <c r="D28">
        <f>IF(OR(B28="—",C28="—"),"—",B28-C28)</f>
        <v/>
      </c>
      <c r="E28">
        <f>IF(B28="—","Missing in Billing",IF(C28="—","Missing in ERP",IF(D28=0,"✓ Match","⚠ Investigate")))</f>
        <v/>
      </c>
    </row>
    <row r="29">
      <c r="A29" t="inlineStr">
        <is>
          <t>INV-00028</t>
        </is>
      </c>
      <c r="B29">
        <f>IFERROR(INDEX(Billing_Extract!$D$2:$D$121,MATCH($A29,Billing_Extract!$A$2:$A$121,0)),"—")</f>
        <v/>
      </c>
      <c r="C29">
        <f>IFERROR(INDEX(ERP_Extract!$D$2:$D$120,MATCH($A29,ERP_Extract!$A$2:$A$120,0)),"—")</f>
        <v/>
      </c>
      <c r="D29">
        <f>IF(OR(B29="—",C29="—"),"—",B29-C29)</f>
        <v/>
      </c>
      <c r="E29">
        <f>IF(B29="—","Missing in Billing",IF(C29="—","Missing in ERP",IF(D29=0,"✓ Match","⚠ Investigate")))</f>
        <v/>
      </c>
    </row>
    <row r="30">
      <c r="A30" t="inlineStr">
        <is>
          <t>INV-00029</t>
        </is>
      </c>
      <c r="B30">
        <f>IFERROR(INDEX(Billing_Extract!$D$2:$D$121,MATCH($A30,Billing_Extract!$A$2:$A$121,0)),"—")</f>
        <v/>
      </c>
      <c r="C30">
        <f>IFERROR(INDEX(ERP_Extract!$D$2:$D$120,MATCH($A30,ERP_Extract!$A$2:$A$120,0)),"—")</f>
        <v/>
      </c>
      <c r="D30">
        <f>IF(OR(B30="—",C30="—"),"—",B30-C30)</f>
        <v/>
      </c>
      <c r="E30">
        <f>IF(B30="—","Missing in Billing",IF(C30="—","Missing in ERP",IF(D30=0,"✓ Match","⚠ Investigate")))</f>
        <v/>
      </c>
    </row>
    <row r="31">
      <c r="A31" t="inlineStr">
        <is>
          <t>INV-00030</t>
        </is>
      </c>
      <c r="B31">
        <f>IFERROR(INDEX(Billing_Extract!$D$2:$D$121,MATCH($A31,Billing_Extract!$A$2:$A$121,0)),"—")</f>
        <v/>
      </c>
      <c r="C31">
        <f>IFERROR(INDEX(ERP_Extract!$D$2:$D$120,MATCH($A31,ERP_Extract!$A$2:$A$120,0)),"—")</f>
        <v/>
      </c>
      <c r="D31">
        <f>IF(OR(B31="—",C31="—"),"—",B31-C31)</f>
        <v/>
      </c>
      <c r="E31">
        <f>IF(B31="—","Missing in Billing",IF(C31="—","Missing in ERP",IF(D31=0,"✓ Match","⚠ Investigate")))</f>
        <v/>
      </c>
    </row>
    <row r="32">
      <c r="A32" t="inlineStr">
        <is>
          <t>INV-00031</t>
        </is>
      </c>
      <c r="B32">
        <f>IFERROR(INDEX(Billing_Extract!$D$2:$D$121,MATCH($A32,Billing_Extract!$A$2:$A$121,0)),"—")</f>
        <v/>
      </c>
      <c r="C32">
        <f>IFERROR(INDEX(ERP_Extract!$D$2:$D$120,MATCH($A32,ERP_Extract!$A$2:$A$120,0)),"—")</f>
        <v/>
      </c>
      <c r="D32">
        <f>IF(OR(B32="—",C32="—"),"—",B32-C32)</f>
        <v/>
      </c>
      <c r="E32">
        <f>IF(B32="—","Missing in Billing",IF(C32="—","Missing in ERP",IF(D32=0,"✓ Match","⚠ Investigate")))</f>
        <v/>
      </c>
    </row>
    <row r="33">
      <c r="A33" t="inlineStr">
        <is>
          <t>INV-00032</t>
        </is>
      </c>
      <c r="B33">
        <f>IFERROR(INDEX(Billing_Extract!$D$2:$D$121,MATCH($A33,Billing_Extract!$A$2:$A$121,0)),"—")</f>
        <v/>
      </c>
      <c r="C33">
        <f>IFERROR(INDEX(ERP_Extract!$D$2:$D$120,MATCH($A33,ERP_Extract!$A$2:$A$120,0)),"—")</f>
        <v/>
      </c>
      <c r="D33">
        <f>IF(OR(B33="—",C33="—"),"—",B33-C33)</f>
        <v/>
      </c>
      <c r="E33">
        <f>IF(B33="—","Missing in Billing",IF(C33="—","Missing in ERP",IF(D33=0,"✓ Match","⚠ Investigate")))</f>
        <v/>
      </c>
    </row>
    <row r="34">
      <c r="A34" t="inlineStr">
        <is>
          <t>INV-00033</t>
        </is>
      </c>
      <c r="B34">
        <f>IFERROR(INDEX(Billing_Extract!$D$2:$D$121,MATCH($A34,Billing_Extract!$A$2:$A$121,0)),"—")</f>
        <v/>
      </c>
      <c r="C34">
        <f>IFERROR(INDEX(ERP_Extract!$D$2:$D$120,MATCH($A34,ERP_Extract!$A$2:$A$120,0)),"—")</f>
        <v/>
      </c>
      <c r="D34">
        <f>IF(OR(B34="—",C34="—"),"—",B34-C34)</f>
        <v/>
      </c>
      <c r="E34">
        <f>IF(B34="—","Missing in Billing",IF(C34="—","Missing in ERP",IF(D34=0,"✓ Match","⚠ Investigate")))</f>
        <v/>
      </c>
    </row>
    <row r="35">
      <c r="A35" t="inlineStr">
        <is>
          <t>INV-00034</t>
        </is>
      </c>
      <c r="B35">
        <f>IFERROR(INDEX(Billing_Extract!$D$2:$D$121,MATCH($A35,Billing_Extract!$A$2:$A$121,0)),"—")</f>
        <v/>
      </c>
      <c r="C35">
        <f>IFERROR(INDEX(ERP_Extract!$D$2:$D$120,MATCH($A35,ERP_Extract!$A$2:$A$120,0)),"—")</f>
        <v/>
      </c>
      <c r="D35">
        <f>IF(OR(B35="—",C35="—"),"—",B35-C35)</f>
        <v/>
      </c>
      <c r="E35">
        <f>IF(B35="—","Missing in Billing",IF(C35="—","Missing in ERP",IF(D35=0,"✓ Match","⚠ Investigate")))</f>
        <v/>
      </c>
    </row>
    <row r="36">
      <c r="A36" t="inlineStr">
        <is>
          <t>INV-00035</t>
        </is>
      </c>
      <c r="B36">
        <f>IFERROR(INDEX(Billing_Extract!$D$2:$D$121,MATCH($A36,Billing_Extract!$A$2:$A$121,0)),"—")</f>
        <v/>
      </c>
      <c r="C36">
        <f>IFERROR(INDEX(ERP_Extract!$D$2:$D$120,MATCH($A36,ERP_Extract!$A$2:$A$120,0)),"—")</f>
        <v/>
      </c>
      <c r="D36">
        <f>IF(OR(B36="—",C36="—"),"—",B36-C36)</f>
        <v/>
      </c>
      <c r="E36">
        <f>IF(B36="—","Missing in Billing",IF(C36="—","Missing in ERP",IF(D36=0,"✓ Match","⚠ Investigate")))</f>
        <v/>
      </c>
    </row>
    <row r="37">
      <c r="A37" t="inlineStr">
        <is>
          <t>INV-00036</t>
        </is>
      </c>
      <c r="B37">
        <f>IFERROR(INDEX(Billing_Extract!$D$2:$D$121,MATCH($A37,Billing_Extract!$A$2:$A$121,0)),"—")</f>
        <v/>
      </c>
      <c r="C37">
        <f>IFERROR(INDEX(ERP_Extract!$D$2:$D$120,MATCH($A37,ERP_Extract!$A$2:$A$120,0)),"—")</f>
        <v/>
      </c>
      <c r="D37">
        <f>IF(OR(B37="—",C37="—"),"—",B37-C37)</f>
        <v/>
      </c>
      <c r="E37">
        <f>IF(B37="—","Missing in Billing",IF(C37="—","Missing in ERP",IF(D37=0,"✓ Match","⚠ Investigate")))</f>
        <v/>
      </c>
    </row>
    <row r="38">
      <c r="A38" t="inlineStr">
        <is>
          <t>INV-00037</t>
        </is>
      </c>
      <c r="B38">
        <f>IFERROR(INDEX(Billing_Extract!$D$2:$D$121,MATCH($A38,Billing_Extract!$A$2:$A$121,0)),"—")</f>
        <v/>
      </c>
      <c r="C38">
        <f>IFERROR(INDEX(ERP_Extract!$D$2:$D$120,MATCH($A38,ERP_Extract!$A$2:$A$120,0)),"—")</f>
        <v/>
      </c>
      <c r="D38">
        <f>IF(OR(B38="—",C38="—"),"—",B38-C38)</f>
        <v/>
      </c>
      <c r="E38">
        <f>IF(B38="—","Missing in Billing",IF(C38="—","Missing in ERP",IF(D38=0,"✓ Match","⚠ Investigate")))</f>
        <v/>
      </c>
    </row>
    <row r="39">
      <c r="A39" t="inlineStr">
        <is>
          <t>INV-00038</t>
        </is>
      </c>
      <c r="B39">
        <f>IFERROR(INDEX(Billing_Extract!$D$2:$D$121,MATCH($A39,Billing_Extract!$A$2:$A$121,0)),"—")</f>
        <v/>
      </c>
      <c r="C39">
        <f>IFERROR(INDEX(ERP_Extract!$D$2:$D$120,MATCH($A39,ERP_Extract!$A$2:$A$120,0)),"—")</f>
        <v/>
      </c>
      <c r="D39">
        <f>IF(OR(B39="—",C39="—"),"—",B39-C39)</f>
        <v/>
      </c>
      <c r="E39">
        <f>IF(B39="—","Missing in Billing",IF(C39="—","Missing in ERP",IF(D39=0,"✓ Match","⚠ Investigate")))</f>
        <v/>
      </c>
    </row>
    <row r="40">
      <c r="A40" t="inlineStr">
        <is>
          <t>INV-00039</t>
        </is>
      </c>
      <c r="B40">
        <f>IFERROR(INDEX(Billing_Extract!$D$2:$D$121,MATCH($A40,Billing_Extract!$A$2:$A$121,0)),"—")</f>
        <v/>
      </c>
      <c r="C40">
        <f>IFERROR(INDEX(ERP_Extract!$D$2:$D$120,MATCH($A40,ERP_Extract!$A$2:$A$120,0)),"—")</f>
        <v/>
      </c>
      <c r="D40">
        <f>IF(OR(B40="—",C40="—"),"—",B40-C40)</f>
        <v/>
      </c>
      <c r="E40">
        <f>IF(B40="—","Missing in Billing",IF(C40="—","Missing in ERP",IF(D40=0,"✓ Match","⚠ Investigate")))</f>
        <v/>
      </c>
    </row>
    <row r="41">
      <c r="A41" t="inlineStr">
        <is>
          <t>INV-00040</t>
        </is>
      </c>
      <c r="B41">
        <f>IFERROR(INDEX(Billing_Extract!$D$2:$D$121,MATCH($A41,Billing_Extract!$A$2:$A$121,0)),"—")</f>
        <v/>
      </c>
      <c r="C41">
        <f>IFERROR(INDEX(ERP_Extract!$D$2:$D$120,MATCH($A41,ERP_Extract!$A$2:$A$120,0)),"—")</f>
        <v/>
      </c>
      <c r="D41">
        <f>IF(OR(B41="—",C41="—"),"—",B41-C41)</f>
        <v/>
      </c>
      <c r="E41">
        <f>IF(B41="—","Missing in Billing",IF(C41="—","Missing in ERP",IF(D41=0,"✓ Match","⚠ Investigate")))</f>
        <v/>
      </c>
    </row>
    <row r="42">
      <c r="A42" t="inlineStr">
        <is>
          <t>INV-00041</t>
        </is>
      </c>
      <c r="B42">
        <f>IFERROR(INDEX(Billing_Extract!$D$2:$D$121,MATCH($A42,Billing_Extract!$A$2:$A$121,0)),"—")</f>
        <v/>
      </c>
      <c r="C42">
        <f>IFERROR(INDEX(ERP_Extract!$D$2:$D$120,MATCH($A42,ERP_Extract!$A$2:$A$120,0)),"—")</f>
        <v/>
      </c>
      <c r="D42">
        <f>IF(OR(B42="—",C42="—"),"—",B42-C42)</f>
        <v/>
      </c>
      <c r="E42">
        <f>IF(B42="—","Missing in Billing",IF(C42="—","Missing in ERP",IF(D42=0,"✓ Match","⚠ Investigate")))</f>
        <v/>
      </c>
    </row>
    <row r="43">
      <c r="A43" t="inlineStr">
        <is>
          <t>INV-00042</t>
        </is>
      </c>
      <c r="B43">
        <f>IFERROR(INDEX(Billing_Extract!$D$2:$D$121,MATCH($A43,Billing_Extract!$A$2:$A$121,0)),"—")</f>
        <v/>
      </c>
      <c r="C43">
        <f>IFERROR(INDEX(ERP_Extract!$D$2:$D$120,MATCH($A43,ERP_Extract!$A$2:$A$120,0)),"—")</f>
        <v/>
      </c>
      <c r="D43">
        <f>IF(OR(B43="—",C43="—"),"—",B43-C43)</f>
        <v/>
      </c>
      <c r="E43">
        <f>IF(B43="—","Missing in Billing",IF(C43="—","Missing in ERP",IF(D43=0,"✓ Match","⚠ Investigate")))</f>
        <v/>
      </c>
    </row>
    <row r="44">
      <c r="A44" t="inlineStr">
        <is>
          <t>INV-00043</t>
        </is>
      </c>
      <c r="B44">
        <f>IFERROR(INDEX(Billing_Extract!$D$2:$D$121,MATCH($A44,Billing_Extract!$A$2:$A$121,0)),"—")</f>
        <v/>
      </c>
      <c r="C44">
        <f>IFERROR(INDEX(ERP_Extract!$D$2:$D$120,MATCH($A44,ERP_Extract!$A$2:$A$120,0)),"—")</f>
        <v/>
      </c>
      <c r="D44">
        <f>IF(OR(B44="—",C44="—"),"—",B44-C44)</f>
        <v/>
      </c>
      <c r="E44">
        <f>IF(B44="—","Missing in Billing",IF(C44="—","Missing in ERP",IF(D44=0,"✓ Match","⚠ Investigate")))</f>
        <v/>
      </c>
    </row>
    <row r="45">
      <c r="A45" t="inlineStr">
        <is>
          <t>INV-00044</t>
        </is>
      </c>
      <c r="B45">
        <f>IFERROR(INDEX(Billing_Extract!$D$2:$D$121,MATCH($A45,Billing_Extract!$A$2:$A$121,0)),"—")</f>
        <v/>
      </c>
      <c r="C45">
        <f>IFERROR(INDEX(ERP_Extract!$D$2:$D$120,MATCH($A45,ERP_Extract!$A$2:$A$120,0)),"—")</f>
        <v/>
      </c>
      <c r="D45">
        <f>IF(OR(B45="—",C45="—"),"—",B45-C45)</f>
        <v/>
      </c>
      <c r="E45">
        <f>IF(B45="—","Missing in Billing",IF(C45="—","Missing in ERP",IF(D45=0,"✓ Match","⚠ Investigate")))</f>
        <v/>
      </c>
    </row>
    <row r="46">
      <c r="A46" t="inlineStr">
        <is>
          <t>INV-00045</t>
        </is>
      </c>
      <c r="B46">
        <f>IFERROR(INDEX(Billing_Extract!$D$2:$D$121,MATCH($A46,Billing_Extract!$A$2:$A$121,0)),"—")</f>
        <v/>
      </c>
      <c r="C46">
        <f>IFERROR(INDEX(ERP_Extract!$D$2:$D$120,MATCH($A46,ERP_Extract!$A$2:$A$120,0)),"—")</f>
        <v/>
      </c>
      <c r="D46">
        <f>IF(OR(B46="—",C46="—"),"—",B46-C46)</f>
        <v/>
      </c>
      <c r="E46">
        <f>IF(B46="—","Missing in Billing",IF(C46="—","Missing in ERP",IF(D46=0,"✓ Match","⚠ Investigate")))</f>
        <v/>
      </c>
    </row>
    <row r="47">
      <c r="A47" t="inlineStr">
        <is>
          <t>INV-00046</t>
        </is>
      </c>
      <c r="B47">
        <f>IFERROR(INDEX(Billing_Extract!$D$2:$D$121,MATCH($A47,Billing_Extract!$A$2:$A$121,0)),"—")</f>
        <v/>
      </c>
      <c r="C47">
        <f>IFERROR(INDEX(ERP_Extract!$D$2:$D$120,MATCH($A47,ERP_Extract!$A$2:$A$120,0)),"—")</f>
        <v/>
      </c>
      <c r="D47">
        <f>IF(OR(B47="—",C47="—"),"—",B47-C47)</f>
        <v/>
      </c>
      <c r="E47">
        <f>IF(B47="—","Missing in Billing",IF(C47="—","Missing in ERP",IF(D47=0,"✓ Match","⚠ Investigate")))</f>
        <v/>
      </c>
    </row>
    <row r="48">
      <c r="A48" t="inlineStr">
        <is>
          <t>INV-00047</t>
        </is>
      </c>
      <c r="B48">
        <f>IFERROR(INDEX(Billing_Extract!$D$2:$D$121,MATCH($A48,Billing_Extract!$A$2:$A$121,0)),"—")</f>
        <v/>
      </c>
      <c r="C48">
        <f>IFERROR(INDEX(ERP_Extract!$D$2:$D$120,MATCH($A48,ERP_Extract!$A$2:$A$120,0)),"—")</f>
        <v/>
      </c>
      <c r="D48">
        <f>IF(OR(B48="—",C48="—"),"—",B48-C48)</f>
        <v/>
      </c>
      <c r="E48">
        <f>IF(B48="—","Missing in Billing",IF(C48="—","Missing in ERP",IF(D48=0,"✓ Match","⚠ Investigate")))</f>
        <v/>
      </c>
    </row>
    <row r="49">
      <c r="A49" t="inlineStr">
        <is>
          <t>INV-00048</t>
        </is>
      </c>
      <c r="B49">
        <f>IFERROR(INDEX(Billing_Extract!$D$2:$D$121,MATCH($A49,Billing_Extract!$A$2:$A$121,0)),"—")</f>
        <v/>
      </c>
      <c r="C49">
        <f>IFERROR(INDEX(ERP_Extract!$D$2:$D$120,MATCH($A49,ERP_Extract!$A$2:$A$120,0)),"—")</f>
        <v/>
      </c>
      <c r="D49">
        <f>IF(OR(B49="—",C49="—"),"—",B49-C49)</f>
        <v/>
      </c>
      <c r="E49">
        <f>IF(B49="—","Missing in Billing",IF(C49="—","Missing in ERP",IF(D49=0,"✓ Match","⚠ Investigate")))</f>
        <v/>
      </c>
    </row>
    <row r="50">
      <c r="A50" t="inlineStr">
        <is>
          <t>INV-00049</t>
        </is>
      </c>
      <c r="B50">
        <f>IFERROR(INDEX(Billing_Extract!$D$2:$D$121,MATCH($A50,Billing_Extract!$A$2:$A$121,0)),"—")</f>
        <v/>
      </c>
      <c r="C50">
        <f>IFERROR(INDEX(ERP_Extract!$D$2:$D$120,MATCH($A50,ERP_Extract!$A$2:$A$120,0)),"—")</f>
        <v/>
      </c>
      <c r="D50">
        <f>IF(OR(B50="—",C50="—"),"—",B50-C50)</f>
        <v/>
      </c>
      <c r="E50">
        <f>IF(B50="—","Missing in Billing",IF(C50="—","Missing in ERP",IF(D50=0,"✓ Match","⚠ Investigate")))</f>
        <v/>
      </c>
    </row>
    <row r="51">
      <c r="A51" t="inlineStr">
        <is>
          <t>INV-00050</t>
        </is>
      </c>
      <c r="B51">
        <f>IFERROR(INDEX(Billing_Extract!$D$2:$D$121,MATCH($A51,Billing_Extract!$A$2:$A$121,0)),"—")</f>
        <v/>
      </c>
      <c r="C51">
        <f>IFERROR(INDEX(ERP_Extract!$D$2:$D$120,MATCH($A51,ERP_Extract!$A$2:$A$120,0)),"—")</f>
        <v/>
      </c>
      <c r="D51">
        <f>IF(OR(B51="—",C51="—"),"—",B51-C51)</f>
        <v/>
      </c>
      <c r="E51">
        <f>IF(B51="—","Missing in Billing",IF(C51="—","Missing in ERP",IF(D51=0,"✓ Match","⚠ Investigate")))</f>
        <v/>
      </c>
    </row>
    <row r="52">
      <c r="A52" t="inlineStr">
        <is>
          <t>INV-00051</t>
        </is>
      </c>
      <c r="B52">
        <f>IFERROR(INDEX(Billing_Extract!$D$2:$D$121,MATCH($A52,Billing_Extract!$A$2:$A$121,0)),"—")</f>
        <v/>
      </c>
      <c r="C52">
        <f>IFERROR(INDEX(ERP_Extract!$D$2:$D$120,MATCH($A52,ERP_Extract!$A$2:$A$120,0)),"—")</f>
        <v/>
      </c>
      <c r="D52">
        <f>IF(OR(B52="—",C52="—"),"—",B52-C52)</f>
        <v/>
      </c>
      <c r="E52">
        <f>IF(B52="—","Missing in Billing",IF(C52="—","Missing in ERP",IF(D52=0,"✓ Match","⚠ Investigate")))</f>
        <v/>
      </c>
    </row>
    <row r="53">
      <c r="A53" t="inlineStr">
        <is>
          <t>INV-00052</t>
        </is>
      </c>
      <c r="B53">
        <f>IFERROR(INDEX(Billing_Extract!$D$2:$D$121,MATCH($A53,Billing_Extract!$A$2:$A$121,0)),"—")</f>
        <v/>
      </c>
      <c r="C53">
        <f>IFERROR(INDEX(ERP_Extract!$D$2:$D$120,MATCH($A53,ERP_Extract!$A$2:$A$120,0)),"—")</f>
        <v/>
      </c>
      <c r="D53">
        <f>IF(OR(B53="—",C53="—"),"—",B53-C53)</f>
        <v/>
      </c>
      <c r="E53">
        <f>IF(B53="—","Missing in Billing",IF(C53="—","Missing in ERP",IF(D53=0,"✓ Match","⚠ Investigate")))</f>
        <v/>
      </c>
    </row>
    <row r="54">
      <c r="A54" t="inlineStr">
        <is>
          <t>INV-00053</t>
        </is>
      </c>
      <c r="B54">
        <f>IFERROR(INDEX(Billing_Extract!$D$2:$D$121,MATCH($A54,Billing_Extract!$A$2:$A$121,0)),"—")</f>
        <v/>
      </c>
      <c r="C54">
        <f>IFERROR(INDEX(ERP_Extract!$D$2:$D$120,MATCH($A54,ERP_Extract!$A$2:$A$120,0)),"—")</f>
        <v/>
      </c>
      <c r="D54">
        <f>IF(OR(B54="—",C54="—"),"—",B54-C54)</f>
        <v/>
      </c>
      <c r="E54">
        <f>IF(B54="—","Missing in Billing",IF(C54="—","Missing in ERP",IF(D54=0,"✓ Match","⚠ Investigate")))</f>
        <v/>
      </c>
    </row>
    <row r="55">
      <c r="A55" t="inlineStr">
        <is>
          <t>INV-00054</t>
        </is>
      </c>
      <c r="B55">
        <f>IFERROR(INDEX(Billing_Extract!$D$2:$D$121,MATCH($A55,Billing_Extract!$A$2:$A$121,0)),"—")</f>
        <v/>
      </c>
      <c r="C55">
        <f>IFERROR(INDEX(ERP_Extract!$D$2:$D$120,MATCH($A55,ERP_Extract!$A$2:$A$120,0)),"—")</f>
        <v/>
      </c>
      <c r="D55">
        <f>IF(OR(B55="—",C55="—"),"—",B55-C55)</f>
        <v/>
      </c>
      <c r="E55">
        <f>IF(B55="—","Missing in Billing",IF(C55="—","Missing in ERP",IF(D55=0,"✓ Match","⚠ Investigate")))</f>
        <v/>
      </c>
    </row>
    <row r="56">
      <c r="A56" t="inlineStr">
        <is>
          <t>INV-00055</t>
        </is>
      </c>
      <c r="B56">
        <f>IFERROR(INDEX(Billing_Extract!$D$2:$D$121,MATCH($A56,Billing_Extract!$A$2:$A$121,0)),"—")</f>
        <v/>
      </c>
      <c r="C56">
        <f>IFERROR(INDEX(ERP_Extract!$D$2:$D$120,MATCH($A56,ERP_Extract!$A$2:$A$120,0)),"—")</f>
        <v/>
      </c>
      <c r="D56">
        <f>IF(OR(B56="—",C56="—"),"—",B56-C56)</f>
        <v/>
      </c>
      <c r="E56">
        <f>IF(B56="—","Missing in Billing",IF(C56="—","Missing in ERP",IF(D56=0,"✓ Match","⚠ Investigate")))</f>
        <v/>
      </c>
    </row>
    <row r="57">
      <c r="A57" t="inlineStr">
        <is>
          <t>INV-00056</t>
        </is>
      </c>
      <c r="B57">
        <f>IFERROR(INDEX(Billing_Extract!$D$2:$D$121,MATCH($A57,Billing_Extract!$A$2:$A$121,0)),"—")</f>
        <v/>
      </c>
      <c r="C57">
        <f>IFERROR(INDEX(ERP_Extract!$D$2:$D$120,MATCH($A57,ERP_Extract!$A$2:$A$120,0)),"—")</f>
        <v/>
      </c>
      <c r="D57">
        <f>IF(OR(B57="—",C57="—"),"—",B57-C57)</f>
        <v/>
      </c>
      <c r="E57">
        <f>IF(B57="—","Missing in Billing",IF(C57="—","Missing in ERP",IF(D57=0,"✓ Match","⚠ Investigate")))</f>
        <v/>
      </c>
    </row>
    <row r="58">
      <c r="A58" t="inlineStr">
        <is>
          <t>INV-00057</t>
        </is>
      </c>
      <c r="B58">
        <f>IFERROR(INDEX(Billing_Extract!$D$2:$D$121,MATCH($A58,Billing_Extract!$A$2:$A$121,0)),"—")</f>
        <v/>
      </c>
      <c r="C58">
        <f>IFERROR(INDEX(ERP_Extract!$D$2:$D$120,MATCH($A58,ERP_Extract!$A$2:$A$120,0)),"—")</f>
        <v/>
      </c>
      <c r="D58">
        <f>IF(OR(B58="—",C58="—"),"—",B58-C58)</f>
        <v/>
      </c>
      <c r="E58">
        <f>IF(B58="—","Missing in Billing",IF(C58="—","Missing in ERP",IF(D58=0,"✓ Match","⚠ Investigate")))</f>
        <v/>
      </c>
    </row>
    <row r="59">
      <c r="A59" t="inlineStr">
        <is>
          <t>INV-00058</t>
        </is>
      </c>
      <c r="B59">
        <f>IFERROR(INDEX(Billing_Extract!$D$2:$D$121,MATCH($A59,Billing_Extract!$A$2:$A$121,0)),"—")</f>
        <v/>
      </c>
      <c r="C59">
        <f>IFERROR(INDEX(ERP_Extract!$D$2:$D$120,MATCH($A59,ERP_Extract!$A$2:$A$120,0)),"—")</f>
        <v/>
      </c>
      <c r="D59">
        <f>IF(OR(B59="—",C59="—"),"—",B59-C59)</f>
        <v/>
      </c>
      <c r="E59">
        <f>IF(B59="—","Missing in Billing",IF(C59="—","Missing in ERP",IF(D59=0,"✓ Match","⚠ Investigate")))</f>
        <v/>
      </c>
    </row>
    <row r="60">
      <c r="A60" t="inlineStr">
        <is>
          <t>INV-00059</t>
        </is>
      </c>
      <c r="B60">
        <f>IFERROR(INDEX(Billing_Extract!$D$2:$D$121,MATCH($A60,Billing_Extract!$A$2:$A$121,0)),"—")</f>
        <v/>
      </c>
      <c r="C60">
        <f>IFERROR(INDEX(ERP_Extract!$D$2:$D$120,MATCH($A60,ERP_Extract!$A$2:$A$120,0)),"—")</f>
        <v/>
      </c>
      <c r="D60">
        <f>IF(OR(B60="—",C60="—"),"—",B60-C60)</f>
        <v/>
      </c>
      <c r="E60">
        <f>IF(B60="—","Missing in Billing",IF(C60="—","Missing in ERP",IF(D60=0,"✓ Match","⚠ Investigate")))</f>
        <v/>
      </c>
    </row>
    <row r="61">
      <c r="A61" t="inlineStr">
        <is>
          <t>INV-00060</t>
        </is>
      </c>
      <c r="B61">
        <f>IFERROR(INDEX(Billing_Extract!$D$2:$D$121,MATCH($A61,Billing_Extract!$A$2:$A$121,0)),"—")</f>
        <v/>
      </c>
      <c r="C61">
        <f>IFERROR(INDEX(ERP_Extract!$D$2:$D$120,MATCH($A61,ERP_Extract!$A$2:$A$120,0)),"—")</f>
        <v/>
      </c>
      <c r="D61">
        <f>IF(OR(B61="—",C61="—"),"—",B61-C61)</f>
        <v/>
      </c>
      <c r="E61">
        <f>IF(B61="—","Missing in Billing",IF(C61="—","Missing in ERP",IF(D61=0,"✓ Match","⚠ Investigate")))</f>
        <v/>
      </c>
    </row>
    <row r="62">
      <c r="A62" t="inlineStr">
        <is>
          <t>INV-00061</t>
        </is>
      </c>
      <c r="B62">
        <f>IFERROR(INDEX(Billing_Extract!$D$2:$D$121,MATCH($A62,Billing_Extract!$A$2:$A$121,0)),"—")</f>
        <v/>
      </c>
      <c r="C62">
        <f>IFERROR(INDEX(ERP_Extract!$D$2:$D$120,MATCH($A62,ERP_Extract!$A$2:$A$120,0)),"—")</f>
        <v/>
      </c>
      <c r="D62">
        <f>IF(OR(B62="—",C62="—"),"—",B62-C62)</f>
        <v/>
      </c>
      <c r="E62">
        <f>IF(B62="—","Missing in Billing",IF(C62="—","Missing in ERP",IF(D62=0,"✓ Match","⚠ Investigate")))</f>
        <v/>
      </c>
    </row>
    <row r="63">
      <c r="A63" t="inlineStr">
        <is>
          <t>INV-00062</t>
        </is>
      </c>
      <c r="B63">
        <f>IFERROR(INDEX(Billing_Extract!$D$2:$D$121,MATCH($A63,Billing_Extract!$A$2:$A$121,0)),"—")</f>
        <v/>
      </c>
      <c r="C63">
        <f>IFERROR(INDEX(ERP_Extract!$D$2:$D$120,MATCH($A63,ERP_Extract!$A$2:$A$120,0)),"—")</f>
        <v/>
      </c>
      <c r="D63">
        <f>IF(OR(B63="—",C63="—"),"—",B63-C63)</f>
        <v/>
      </c>
      <c r="E63">
        <f>IF(B63="—","Missing in Billing",IF(C63="—","Missing in ERP",IF(D63=0,"✓ Match","⚠ Investigate")))</f>
        <v/>
      </c>
    </row>
    <row r="64">
      <c r="A64" t="inlineStr">
        <is>
          <t>INV-00063</t>
        </is>
      </c>
      <c r="B64">
        <f>IFERROR(INDEX(Billing_Extract!$D$2:$D$121,MATCH($A64,Billing_Extract!$A$2:$A$121,0)),"—")</f>
        <v/>
      </c>
      <c r="C64">
        <f>IFERROR(INDEX(ERP_Extract!$D$2:$D$120,MATCH($A64,ERP_Extract!$A$2:$A$120,0)),"—")</f>
        <v/>
      </c>
      <c r="D64">
        <f>IF(OR(B64="—",C64="—"),"—",B64-C64)</f>
        <v/>
      </c>
      <c r="E64">
        <f>IF(B64="—","Missing in Billing",IF(C64="—","Missing in ERP",IF(D64=0,"✓ Match","⚠ Investigate")))</f>
        <v/>
      </c>
    </row>
    <row r="65">
      <c r="A65" t="inlineStr">
        <is>
          <t>INV-00064</t>
        </is>
      </c>
      <c r="B65">
        <f>IFERROR(INDEX(Billing_Extract!$D$2:$D$121,MATCH($A65,Billing_Extract!$A$2:$A$121,0)),"—")</f>
        <v/>
      </c>
      <c r="C65">
        <f>IFERROR(INDEX(ERP_Extract!$D$2:$D$120,MATCH($A65,ERP_Extract!$A$2:$A$120,0)),"—")</f>
        <v/>
      </c>
      <c r="D65">
        <f>IF(OR(B65="—",C65="—"),"—",B65-C65)</f>
        <v/>
      </c>
      <c r="E65">
        <f>IF(B65="—","Missing in Billing",IF(C65="—","Missing in ERP",IF(D65=0,"✓ Match","⚠ Investigate")))</f>
        <v/>
      </c>
    </row>
    <row r="66">
      <c r="A66" t="inlineStr">
        <is>
          <t>INV-00065</t>
        </is>
      </c>
      <c r="B66">
        <f>IFERROR(INDEX(Billing_Extract!$D$2:$D$121,MATCH($A66,Billing_Extract!$A$2:$A$121,0)),"—")</f>
        <v/>
      </c>
      <c r="C66">
        <f>IFERROR(INDEX(ERP_Extract!$D$2:$D$120,MATCH($A66,ERP_Extract!$A$2:$A$120,0)),"—")</f>
        <v/>
      </c>
      <c r="D66">
        <f>IF(OR(B66="—",C66="—"),"—",B66-C66)</f>
        <v/>
      </c>
      <c r="E66">
        <f>IF(B66="—","Missing in Billing",IF(C66="—","Missing in ERP",IF(D66=0,"✓ Match","⚠ Investigate")))</f>
        <v/>
      </c>
    </row>
    <row r="67">
      <c r="A67" t="inlineStr">
        <is>
          <t>INV-00066</t>
        </is>
      </c>
      <c r="B67">
        <f>IFERROR(INDEX(Billing_Extract!$D$2:$D$121,MATCH($A67,Billing_Extract!$A$2:$A$121,0)),"—")</f>
        <v/>
      </c>
      <c r="C67">
        <f>IFERROR(INDEX(ERP_Extract!$D$2:$D$120,MATCH($A67,ERP_Extract!$A$2:$A$120,0)),"—")</f>
        <v/>
      </c>
      <c r="D67">
        <f>IF(OR(B67="—",C67="—"),"—",B67-C67)</f>
        <v/>
      </c>
      <c r="E67">
        <f>IF(B67="—","Missing in Billing",IF(C67="—","Missing in ERP",IF(D67=0,"✓ Match","⚠ Investigate")))</f>
        <v/>
      </c>
    </row>
    <row r="68">
      <c r="A68" t="inlineStr">
        <is>
          <t>INV-00067</t>
        </is>
      </c>
      <c r="B68">
        <f>IFERROR(INDEX(Billing_Extract!$D$2:$D$121,MATCH($A68,Billing_Extract!$A$2:$A$121,0)),"—")</f>
        <v/>
      </c>
      <c r="C68">
        <f>IFERROR(INDEX(ERP_Extract!$D$2:$D$120,MATCH($A68,ERP_Extract!$A$2:$A$120,0)),"—")</f>
        <v/>
      </c>
      <c r="D68">
        <f>IF(OR(B68="—",C68="—"),"—",B68-C68)</f>
        <v/>
      </c>
      <c r="E68">
        <f>IF(B68="—","Missing in Billing",IF(C68="—","Missing in ERP",IF(D68=0,"✓ Match","⚠ Investigate")))</f>
        <v/>
      </c>
    </row>
    <row r="69">
      <c r="A69" t="inlineStr">
        <is>
          <t>INV-00068</t>
        </is>
      </c>
      <c r="B69">
        <f>IFERROR(INDEX(Billing_Extract!$D$2:$D$121,MATCH($A69,Billing_Extract!$A$2:$A$121,0)),"—")</f>
        <v/>
      </c>
      <c r="C69">
        <f>IFERROR(INDEX(ERP_Extract!$D$2:$D$120,MATCH($A69,ERP_Extract!$A$2:$A$120,0)),"—")</f>
        <v/>
      </c>
      <c r="D69">
        <f>IF(OR(B69="—",C69="—"),"—",B69-C69)</f>
        <v/>
      </c>
      <c r="E69">
        <f>IF(B69="—","Missing in Billing",IF(C69="—","Missing in ERP",IF(D69=0,"✓ Match","⚠ Investigate")))</f>
        <v/>
      </c>
    </row>
    <row r="70">
      <c r="A70" t="inlineStr">
        <is>
          <t>INV-00069</t>
        </is>
      </c>
      <c r="B70">
        <f>IFERROR(INDEX(Billing_Extract!$D$2:$D$121,MATCH($A70,Billing_Extract!$A$2:$A$121,0)),"—")</f>
        <v/>
      </c>
      <c r="C70">
        <f>IFERROR(INDEX(ERP_Extract!$D$2:$D$120,MATCH($A70,ERP_Extract!$A$2:$A$120,0)),"—")</f>
        <v/>
      </c>
      <c r="D70">
        <f>IF(OR(B70="—",C70="—"),"—",B70-C70)</f>
        <v/>
      </c>
      <c r="E70">
        <f>IF(B70="—","Missing in Billing",IF(C70="—","Missing in ERP",IF(D70=0,"✓ Match","⚠ Investigate")))</f>
        <v/>
      </c>
    </row>
    <row r="71">
      <c r="A71" t="inlineStr">
        <is>
          <t>INV-00070</t>
        </is>
      </c>
      <c r="B71">
        <f>IFERROR(INDEX(Billing_Extract!$D$2:$D$121,MATCH($A71,Billing_Extract!$A$2:$A$121,0)),"—")</f>
        <v/>
      </c>
      <c r="C71">
        <f>IFERROR(INDEX(ERP_Extract!$D$2:$D$120,MATCH($A71,ERP_Extract!$A$2:$A$120,0)),"—")</f>
        <v/>
      </c>
      <c r="D71">
        <f>IF(OR(B71="—",C71="—"),"—",B71-C71)</f>
        <v/>
      </c>
      <c r="E71">
        <f>IF(B71="—","Missing in Billing",IF(C71="—","Missing in ERP",IF(D71=0,"✓ Match","⚠ Investigate")))</f>
        <v/>
      </c>
    </row>
    <row r="72">
      <c r="A72" t="inlineStr">
        <is>
          <t>INV-00071</t>
        </is>
      </c>
      <c r="B72">
        <f>IFERROR(INDEX(Billing_Extract!$D$2:$D$121,MATCH($A72,Billing_Extract!$A$2:$A$121,0)),"—")</f>
        <v/>
      </c>
      <c r="C72">
        <f>IFERROR(INDEX(ERP_Extract!$D$2:$D$120,MATCH($A72,ERP_Extract!$A$2:$A$120,0)),"—")</f>
        <v/>
      </c>
      <c r="D72">
        <f>IF(OR(B72="—",C72="—"),"—",B72-C72)</f>
        <v/>
      </c>
      <c r="E72">
        <f>IF(B72="—","Missing in Billing",IF(C72="—","Missing in ERP",IF(D72=0,"✓ Match","⚠ Investigate")))</f>
        <v/>
      </c>
    </row>
    <row r="73">
      <c r="A73" t="inlineStr">
        <is>
          <t>INV-00072</t>
        </is>
      </c>
      <c r="B73">
        <f>IFERROR(INDEX(Billing_Extract!$D$2:$D$121,MATCH($A73,Billing_Extract!$A$2:$A$121,0)),"—")</f>
        <v/>
      </c>
      <c r="C73">
        <f>IFERROR(INDEX(ERP_Extract!$D$2:$D$120,MATCH($A73,ERP_Extract!$A$2:$A$120,0)),"—")</f>
        <v/>
      </c>
      <c r="D73">
        <f>IF(OR(B73="—",C73="—"),"—",B73-C73)</f>
        <v/>
      </c>
      <c r="E73">
        <f>IF(B73="—","Missing in Billing",IF(C73="—","Missing in ERP",IF(D73=0,"✓ Match","⚠ Investigate")))</f>
        <v/>
      </c>
    </row>
    <row r="74">
      <c r="A74" t="inlineStr">
        <is>
          <t>INV-00073</t>
        </is>
      </c>
      <c r="B74">
        <f>IFERROR(INDEX(Billing_Extract!$D$2:$D$121,MATCH($A74,Billing_Extract!$A$2:$A$121,0)),"—")</f>
        <v/>
      </c>
      <c r="C74">
        <f>IFERROR(INDEX(ERP_Extract!$D$2:$D$120,MATCH($A74,ERP_Extract!$A$2:$A$120,0)),"—")</f>
        <v/>
      </c>
      <c r="D74">
        <f>IF(OR(B74="—",C74="—"),"—",B74-C74)</f>
        <v/>
      </c>
      <c r="E74">
        <f>IF(B74="—","Missing in Billing",IF(C74="—","Missing in ERP",IF(D74=0,"✓ Match","⚠ Investigate")))</f>
        <v/>
      </c>
    </row>
    <row r="75">
      <c r="A75" t="inlineStr">
        <is>
          <t>INV-00074</t>
        </is>
      </c>
      <c r="B75">
        <f>IFERROR(INDEX(Billing_Extract!$D$2:$D$121,MATCH($A75,Billing_Extract!$A$2:$A$121,0)),"—")</f>
        <v/>
      </c>
      <c r="C75">
        <f>IFERROR(INDEX(ERP_Extract!$D$2:$D$120,MATCH($A75,ERP_Extract!$A$2:$A$120,0)),"—")</f>
        <v/>
      </c>
      <c r="D75">
        <f>IF(OR(B75="—",C75="—"),"—",B75-C75)</f>
        <v/>
      </c>
      <c r="E75">
        <f>IF(B75="—","Missing in Billing",IF(C75="—","Missing in ERP",IF(D75=0,"✓ Match","⚠ Investigate")))</f>
        <v/>
      </c>
    </row>
    <row r="76">
      <c r="A76" t="inlineStr">
        <is>
          <t>INV-00075</t>
        </is>
      </c>
      <c r="B76">
        <f>IFERROR(INDEX(Billing_Extract!$D$2:$D$121,MATCH($A76,Billing_Extract!$A$2:$A$121,0)),"—")</f>
        <v/>
      </c>
      <c r="C76">
        <f>IFERROR(INDEX(ERP_Extract!$D$2:$D$120,MATCH($A76,ERP_Extract!$A$2:$A$120,0)),"—")</f>
        <v/>
      </c>
      <c r="D76">
        <f>IF(OR(B76="—",C76="—"),"—",B76-C76)</f>
        <v/>
      </c>
      <c r="E76">
        <f>IF(B76="—","Missing in Billing",IF(C76="—","Missing in ERP",IF(D76=0,"✓ Match","⚠ Investigate")))</f>
        <v/>
      </c>
    </row>
    <row r="77">
      <c r="A77" t="inlineStr">
        <is>
          <t>INV-00076</t>
        </is>
      </c>
      <c r="B77">
        <f>IFERROR(INDEX(Billing_Extract!$D$2:$D$121,MATCH($A77,Billing_Extract!$A$2:$A$121,0)),"—")</f>
        <v/>
      </c>
      <c r="C77">
        <f>IFERROR(INDEX(ERP_Extract!$D$2:$D$120,MATCH($A77,ERP_Extract!$A$2:$A$120,0)),"—")</f>
        <v/>
      </c>
      <c r="D77">
        <f>IF(OR(B77="—",C77="—"),"—",B77-C77)</f>
        <v/>
      </c>
      <c r="E77">
        <f>IF(B77="—","Missing in Billing",IF(C77="—","Missing in ERP",IF(D77=0,"✓ Match","⚠ Investigate")))</f>
        <v/>
      </c>
    </row>
    <row r="78">
      <c r="A78" t="inlineStr">
        <is>
          <t>INV-00077</t>
        </is>
      </c>
      <c r="B78">
        <f>IFERROR(INDEX(Billing_Extract!$D$2:$D$121,MATCH($A78,Billing_Extract!$A$2:$A$121,0)),"—")</f>
        <v/>
      </c>
      <c r="C78">
        <f>IFERROR(INDEX(ERP_Extract!$D$2:$D$120,MATCH($A78,ERP_Extract!$A$2:$A$120,0)),"—")</f>
        <v/>
      </c>
      <c r="D78">
        <f>IF(OR(B78="—",C78="—"),"—",B78-C78)</f>
        <v/>
      </c>
      <c r="E78">
        <f>IF(B78="—","Missing in Billing",IF(C78="—","Missing in ERP",IF(D78=0,"✓ Match","⚠ Investigate")))</f>
        <v/>
      </c>
    </row>
    <row r="79">
      <c r="A79" t="inlineStr">
        <is>
          <t>INV-00078</t>
        </is>
      </c>
      <c r="B79">
        <f>IFERROR(INDEX(Billing_Extract!$D$2:$D$121,MATCH($A79,Billing_Extract!$A$2:$A$121,0)),"—")</f>
        <v/>
      </c>
      <c r="C79">
        <f>IFERROR(INDEX(ERP_Extract!$D$2:$D$120,MATCH($A79,ERP_Extract!$A$2:$A$120,0)),"—")</f>
        <v/>
      </c>
      <c r="D79">
        <f>IF(OR(B79="—",C79="—"),"—",B79-C79)</f>
        <v/>
      </c>
      <c r="E79">
        <f>IF(B79="—","Missing in Billing",IF(C79="—","Missing in ERP",IF(D79=0,"✓ Match","⚠ Investigate")))</f>
        <v/>
      </c>
    </row>
    <row r="80">
      <c r="A80" t="inlineStr">
        <is>
          <t>INV-00079</t>
        </is>
      </c>
      <c r="B80">
        <f>IFERROR(INDEX(Billing_Extract!$D$2:$D$121,MATCH($A80,Billing_Extract!$A$2:$A$121,0)),"—")</f>
        <v/>
      </c>
      <c r="C80">
        <f>IFERROR(INDEX(ERP_Extract!$D$2:$D$120,MATCH($A80,ERP_Extract!$A$2:$A$120,0)),"—")</f>
        <v/>
      </c>
      <c r="D80">
        <f>IF(OR(B80="—",C80="—"),"—",B80-C80)</f>
        <v/>
      </c>
      <c r="E80">
        <f>IF(B80="—","Missing in Billing",IF(C80="—","Missing in ERP",IF(D80=0,"✓ Match","⚠ Investigate")))</f>
        <v/>
      </c>
    </row>
    <row r="81">
      <c r="A81" t="inlineStr">
        <is>
          <t>INV-00080</t>
        </is>
      </c>
      <c r="B81">
        <f>IFERROR(INDEX(Billing_Extract!$D$2:$D$121,MATCH($A81,Billing_Extract!$A$2:$A$121,0)),"—")</f>
        <v/>
      </c>
      <c r="C81">
        <f>IFERROR(INDEX(ERP_Extract!$D$2:$D$120,MATCH($A81,ERP_Extract!$A$2:$A$120,0)),"—")</f>
        <v/>
      </c>
      <c r="D81">
        <f>IF(OR(B81="—",C81="—"),"—",B81-C81)</f>
        <v/>
      </c>
      <c r="E81">
        <f>IF(B81="—","Missing in Billing",IF(C81="—","Missing in ERP",IF(D81=0,"✓ Match","⚠ Investigate")))</f>
        <v/>
      </c>
    </row>
    <row r="82">
      <c r="A82" t="inlineStr">
        <is>
          <t>INV-00081</t>
        </is>
      </c>
      <c r="B82">
        <f>IFERROR(INDEX(Billing_Extract!$D$2:$D$121,MATCH($A82,Billing_Extract!$A$2:$A$121,0)),"—")</f>
        <v/>
      </c>
      <c r="C82">
        <f>IFERROR(INDEX(ERP_Extract!$D$2:$D$120,MATCH($A82,ERP_Extract!$A$2:$A$120,0)),"—")</f>
        <v/>
      </c>
      <c r="D82">
        <f>IF(OR(B82="—",C82="—"),"—",B82-C82)</f>
        <v/>
      </c>
      <c r="E82">
        <f>IF(B82="—","Missing in Billing",IF(C82="—","Missing in ERP",IF(D82=0,"✓ Match","⚠ Investigate")))</f>
        <v/>
      </c>
    </row>
    <row r="83">
      <c r="A83" t="inlineStr">
        <is>
          <t>INV-00082</t>
        </is>
      </c>
      <c r="B83">
        <f>IFERROR(INDEX(Billing_Extract!$D$2:$D$121,MATCH($A83,Billing_Extract!$A$2:$A$121,0)),"—")</f>
        <v/>
      </c>
      <c r="C83">
        <f>IFERROR(INDEX(ERP_Extract!$D$2:$D$120,MATCH($A83,ERP_Extract!$A$2:$A$120,0)),"—")</f>
        <v/>
      </c>
      <c r="D83">
        <f>IF(OR(B83="—",C83="—"),"—",B83-C83)</f>
        <v/>
      </c>
      <c r="E83">
        <f>IF(B83="—","Missing in Billing",IF(C83="—","Missing in ERP",IF(D83=0,"✓ Match","⚠ Investigate")))</f>
        <v/>
      </c>
    </row>
    <row r="84">
      <c r="A84" t="inlineStr">
        <is>
          <t>INV-00083</t>
        </is>
      </c>
      <c r="B84">
        <f>IFERROR(INDEX(Billing_Extract!$D$2:$D$121,MATCH($A84,Billing_Extract!$A$2:$A$121,0)),"—")</f>
        <v/>
      </c>
      <c r="C84">
        <f>IFERROR(INDEX(ERP_Extract!$D$2:$D$120,MATCH($A84,ERP_Extract!$A$2:$A$120,0)),"—")</f>
        <v/>
      </c>
      <c r="D84">
        <f>IF(OR(B84="—",C84="—"),"—",B84-C84)</f>
        <v/>
      </c>
      <c r="E84">
        <f>IF(B84="—","Missing in Billing",IF(C84="—","Missing in ERP",IF(D84=0,"✓ Match","⚠ Investigate")))</f>
        <v/>
      </c>
    </row>
    <row r="85">
      <c r="A85" t="inlineStr">
        <is>
          <t>INV-00084</t>
        </is>
      </c>
      <c r="B85">
        <f>IFERROR(INDEX(Billing_Extract!$D$2:$D$121,MATCH($A85,Billing_Extract!$A$2:$A$121,0)),"—")</f>
        <v/>
      </c>
      <c r="C85">
        <f>IFERROR(INDEX(ERP_Extract!$D$2:$D$120,MATCH($A85,ERP_Extract!$A$2:$A$120,0)),"—")</f>
        <v/>
      </c>
      <c r="D85">
        <f>IF(OR(B85="—",C85="—"),"—",B85-C85)</f>
        <v/>
      </c>
      <c r="E85">
        <f>IF(B85="—","Missing in Billing",IF(C85="—","Missing in ERP",IF(D85=0,"✓ Match","⚠ Investigate")))</f>
        <v/>
      </c>
    </row>
    <row r="86">
      <c r="A86" t="inlineStr">
        <is>
          <t>INV-00085</t>
        </is>
      </c>
      <c r="B86">
        <f>IFERROR(INDEX(Billing_Extract!$D$2:$D$121,MATCH($A86,Billing_Extract!$A$2:$A$121,0)),"—")</f>
        <v/>
      </c>
      <c r="C86">
        <f>IFERROR(INDEX(ERP_Extract!$D$2:$D$120,MATCH($A86,ERP_Extract!$A$2:$A$120,0)),"—")</f>
        <v/>
      </c>
      <c r="D86">
        <f>IF(OR(B86="—",C86="—"),"—",B86-C86)</f>
        <v/>
      </c>
      <c r="E86">
        <f>IF(B86="—","Missing in Billing",IF(C86="—","Missing in ERP",IF(D86=0,"✓ Match","⚠ Investigate")))</f>
        <v/>
      </c>
    </row>
    <row r="87">
      <c r="A87" t="inlineStr">
        <is>
          <t>INV-00086</t>
        </is>
      </c>
      <c r="B87">
        <f>IFERROR(INDEX(Billing_Extract!$D$2:$D$121,MATCH($A87,Billing_Extract!$A$2:$A$121,0)),"—")</f>
        <v/>
      </c>
      <c r="C87">
        <f>IFERROR(INDEX(ERP_Extract!$D$2:$D$120,MATCH($A87,ERP_Extract!$A$2:$A$120,0)),"—")</f>
        <v/>
      </c>
      <c r="D87">
        <f>IF(OR(B87="—",C87="—"),"—",B87-C87)</f>
        <v/>
      </c>
      <c r="E87">
        <f>IF(B87="—","Missing in Billing",IF(C87="—","Missing in ERP",IF(D87=0,"✓ Match","⚠ Investigate")))</f>
        <v/>
      </c>
    </row>
    <row r="88">
      <c r="A88" t="inlineStr">
        <is>
          <t>INV-00087</t>
        </is>
      </c>
      <c r="B88">
        <f>IFERROR(INDEX(Billing_Extract!$D$2:$D$121,MATCH($A88,Billing_Extract!$A$2:$A$121,0)),"—")</f>
        <v/>
      </c>
      <c r="C88">
        <f>IFERROR(INDEX(ERP_Extract!$D$2:$D$120,MATCH($A88,ERP_Extract!$A$2:$A$120,0)),"—")</f>
        <v/>
      </c>
      <c r="D88">
        <f>IF(OR(B88="—",C88="—"),"—",B88-C88)</f>
        <v/>
      </c>
      <c r="E88">
        <f>IF(B88="—","Missing in Billing",IF(C88="—","Missing in ERP",IF(D88=0,"✓ Match","⚠ Investigate")))</f>
        <v/>
      </c>
    </row>
    <row r="89">
      <c r="A89" t="inlineStr">
        <is>
          <t>INV-00088</t>
        </is>
      </c>
      <c r="B89">
        <f>IFERROR(INDEX(Billing_Extract!$D$2:$D$121,MATCH($A89,Billing_Extract!$A$2:$A$121,0)),"—")</f>
        <v/>
      </c>
      <c r="C89">
        <f>IFERROR(INDEX(ERP_Extract!$D$2:$D$120,MATCH($A89,ERP_Extract!$A$2:$A$120,0)),"—")</f>
        <v/>
      </c>
      <c r="D89">
        <f>IF(OR(B89="—",C89="—"),"—",B89-C89)</f>
        <v/>
      </c>
      <c r="E89">
        <f>IF(B89="—","Missing in Billing",IF(C89="—","Missing in ERP",IF(D89=0,"✓ Match","⚠ Investigate")))</f>
        <v/>
      </c>
    </row>
    <row r="90">
      <c r="A90" t="inlineStr">
        <is>
          <t>INV-00089</t>
        </is>
      </c>
      <c r="B90">
        <f>IFERROR(INDEX(Billing_Extract!$D$2:$D$121,MATCH($A90,Billing_Extract!$A$2:$A$121,0)),"—")</f>
        <v/>
      </c>
      <c r="C90">
        <f>IFERROR(INDEX(ERP_Extract!$D$2:$D$120,MATCH($A90,ERP_Extract!$A$2:$A$120,0)),"—")</f>
        <v/>
      </c>
      <c r="D90">
        <f>IF(OR(B90="—",C90="—"),"—",B90-C90)</f>
        <v/>
      </c>
      <c r="E90">
        <f>IF(B90="—","Missing in Billing",IF(C90="—","Missing in ERP",IF(D90=0,"✓ Match","⚠ Investigate")))</f>
        <v/>
      </c>
    </row>
    <row r="91">
      <c r="A91" t="inlineStr">
        <is>
          <t>INV-00090</t>
        </is>
      </c>
      <c r="B91">
        <f>IFERROR(INDEX(Billing_Extract!$D$2:$D$121,MATCH($A91,Billing_Extract!$A$2:$A$121,0)),"—")</f>
        <v/>
      </c>
      <c r="C91">
        <f>IFERROR(INDEX(ERP_Extract!$D$2:$D$120,MATCH($A91,ERP_Extract!$A$2:$A$120,0)),"—")</f>
        <v/>
      </c>
      <c r="D91">
        <f>IF(OR(B91="—",C91="—"),"—",B91-C91)</f>
        <v/>
      </c>
      <c r="E91">
        <f>IF(B91="—","Missing in Billing",IF(C91="—","Missing in ERP",IF(D91=0,"✓ Match","⚠ Investigate")))</f>
        <v/>
      </c>
    </row>
    <row r="92">
      <c r="A92" t="inlineStr">
        <is>
          <t>INV-00091</t>
        </is>
      </c>
      <c r="B92">
        <f>IFERROR(INDEX(Billing_Extract!$D$2:$D$121,MATCH($A92,Billing_Extract!$A$2:$A$121,0)),"—")</f>
        <v/>
      </c>
      <c r="C92">
        <f>IFERROR(INDEX(ERP_Extract!$D$2:$D$120,MATCH($A92,ERP_Extract!$A$2:$A$120,0)),"—")</f>
        <v/>
      </c>
      <c r="D92">
        <f>IF(OR(B92="—",C92="—"),"—",B92-C92)</f>
        <v/>
      </c>
      <c r="E92">
        <f>IF(B92="—","Missing in Billing",IF(C92="—","Missing in ERP",IF(D92=0,"✓ Match","⚠ Investigate")))</f>
        <v/>
      </c>
    </row>
    <row r="93">
      <c r="A93" t="inlineStr">
        <is>
          <t>INV-00092</t>
        </is>
      </c>
      <c r="B93">
        <f>IFERROR(INDEX(Billing_Extract!$D$2:$D$121,MATCH($A93,Billing_Extract!$A$2:$A$121,0)),"—")</f>
        <v/>
      </c>
      <c r="C93">
        <f>IFERROR(INDEX(ERP_Extract!$D$2:$D$120,MATCH($A93,ERP_Extract!$A$2:$A$120,0)),"—")</f>
        <v/>
      </c>
      <c r="D93">
        <f>IF(OR(B93="—",C93="—"),"—",B93-C93)</f>
        <v/>
      </c>
      <c r="E93">
        <f>IF(B93="—","Missing in Billing",IF(C93="—","Missing in ERP",IF(D93=0,"✓ Match","⚠ Investigate")))</f>
        <v/>
      </c>
    </row>
    <row r="94">
      <c r="A94" t="inlineStr">
        <is>
          <t>INV-00093</t>
        </is>
      </c>
      <c r="B94">
        <f>IFERROR(INDEX(Billing_Extract!$D$2:$D$121,MATCH($A94,Billing_Extract!$A$2:$A$121,0)),"—")</f>
        <v/>
      </c>
      <c r="C94">
        <f>IFERROR(INDEX(ERP_Extract!$D$2:$D$120,MATCH($A94,ERP_Extract!$A$2:$A$120,0)),"—")</f>
        <v/>
      </c>
      <c r="D94">
        <f>IF(OR(B94="—",C94="—"),"—",B94-C94)</f>
        <v/>
      </c>
      <c r="E94">
        <f>IF(B94="—","Missing in Billing",IF(C94="—","Missing in ERP",IF(D94=0,"✓ Match","⚠ Investigate")))</f>
        <v/>
      </c>
    </row>
    <row r="95">
      <c r="A95" t="inlineStr">
        <is>
          <t>INV-00094</t>
        </is>
      </c>
      <c r="B95">
        <f>IFERROR(INDEX(Billing_Extract!$D$2:$D$121,MATCH($A95,Billing_Extract!$A$2:$A$121,0)),"—")</f>
        <v/>
      </c>
      <c r="C95">
        <f>IFERROR(INDEX(ERP_Extract!$D$2:$D$120,MATCH($A95,ERP_Extract!$A$2:$A$120,0)),"—")</f>
        <v/>
      </c>
      <c r="D95">
        <f>IF(OR(B95="—",C95="—"),"—",B95-C95)</f>
        <v/>
      </c>
      <c r="E95">
        <f>IF(B95="—","Missing in Billing",IF(C95="—","Missing in ERP",IF(D95=0,"✓ Match","⚠ Investigate")))</f>
        <v/>
      </c>
    </row>
    <row r="96">
      <c r="A96" t="inlineStr">
        <is>
          <t>INV-00095</t>
        </is>
      </c>
      <c r="B96">
        <f>IFERROR(INDEX(Billing_Extract!$D$2:$D$121,MATCH($A96,Billing_Extract!$A$2:$A$121,0)),"—")</f>
        <v/>
      </c>
      <c r="C96">
        <f>IFERROR(INDEX(ERP_Extract!$D$2:$D$120,MATCH($A96,ERP_Extract!$A$2:$A$120,0)),"—")</f>
        <v/>
      </c>
      <c r="D96">
        <f>IF(OR(B96="—",C96="—"),"—",B96-C96)</f>
        <v/>
      </c>
      <c r="E96">
        <f>IF(B96="—","Missing in Billing",IF(C96="—","Missing in ERP",IF(D96=0,"✓ Match","⚠ Investigate")))</f>
        <v/>
      </c>
    </row>
    <row r="97">
      <c r="A97" t="inlineStr">
        <is>
          <t>INV-00096</t>
        </is>
      </c>
      <c r="B97">
        <f>IFERROR(INDEX(Billing_Extract!$D$2:$D$121,MATCH($A97,Billing_Extract!$A$2:$A$121,0)),"—")</f>
        <v/>
      </c>
      <c r="C97">
        <f>IFERROR(INDEX(ERP_Extract!$D$2:$D$120,MATCH($A97,ERP_Extract!$A$2:$A$120,0)),"—")</f>
        <v/>
      </c>
      <c r="D97">
        <f>IF(OR(B97="—",C97="—"),"—",B97-C97)</f>
        <v/>
      </c>
      <c r="E97">
        <f>IF(B97="—","Missing in Billing",IF(C97="—","Missing in ERP",IF(D97=0,"✓ Match","⚠ Investigate")))</f>
        <v/>
      </c>
    </row>
    <row r="98">
      <c r="A98" t="inlineStr">
        <is>
          <t>INV-00097</t>
        </is>
      </c>
      <c r="B98">
        <f>IFERROR(INDEX(Billing_Extract!$D$2:$D$121,MATCH($A98,Billing_Extract!$A$2:$A$121,0)),"—")</f>
        <v/>
      </c>
      <c r="C98">
        <f>IFERROR(INDEX(ERP_Extract!$D$2:$D$120,MATCH($A98,ERP_Extract!$A$2:$A$120,0)),"—")</f>
        <v/>
      </c>
      <c r="D98">
        <f>IF(OR(B98="—",C98="—"),"—",B98-C98)</f>
        <v/>
      </c>
      <c r="E98">
        <f>IF(B98="—","Missing in Billing",IF(C98="—","Missing in ERP",IF(D98=0,"✓ Match","⚠ Investigate")))</f>
        <v/>
      </c>
    </row>
    <row r="99">
      <c r="A99" t="inlineStr">
        <is>
          <t>INV-00098</t>
        </is>
      </c>
      <c r="B99">
        <f>IFERROR(INDEX(Billing_Extract!$D$2:$D$121,MATCH($A99,Billing_Extract!$A$2:$A$121,0)),"—")</f>
        <v/>
      </c>
      <c r="C99">
        <f>IFERROR(INDEX(ERP_Extract!$D$2:$D$120,MATCH($A99,ERP_Extract!$A$2:$A$120,0)),"—")</f>
        <v/>
      </c>
      <c r="D99">
        <f>IF(OR(B99="—",C99="—"),"—",B99-C99)</f>
        <v/>
      </c>
      <c r="E99">
        <f>IF(B99="—","Missing in Billing",IF(C99="—","Missing in ERP",IF(D99=0,"✓ Match","⚠ Investigate")))</f>
        <v/>
      </c>
    </row>
    <row r="100">
      <c r="A100" t="inlineStr">
        <is>
          <t>INV-00099</t>
        </is>
      </c>
      <c r="B100">
        <f>IFERROR(INDEX(Billing_Extract!$D$2:$D$121,MATCH($A100,Billing_Extract!$A$2:$A$121,0)),"—")</f>
        <v/>
      </c>
      <c r="C100">
        <f>IFERROR(INDEX(ERP_Extract!$D$2:$D$120,MATCH($A100,ERP_Extract!$A$2:$A$120,0)),"—")</f>
        <v/>
      </c>
      <c r="D100">
        <f>IF(OR(B100="—",C100="—"),"—",B100-C100)</f>
        <v/>
      </c>
      <c r="E100">
        <f>IF(B100="—","Missing in Billing",IF(C100="—","Missing in ERP",IF(D100=0,"✓ Match","⚠ Investigate")))</f>
        <v/>
      </c>
    </row>
    <row r="101">
      <c r="A101" t="inlineStr">
        <is>
          <t>INV-00100</t>
        </is>
      </c>
      <c r="B101">
        <f>IFERROR(INDEX(Billing_Extract!$D$2:$D$121,MATCH($A101,Billing_Extract!$A$2:$A$121,0)),"—")</f>
        <v/>
      </c>
      <c r="C101">
        <f>IFERROR(INDEX(ERP_Extract!$D$2:$D$120,MATCH($A101,ERP_Extract!$A$2:$A$120,0)),"—")</f>
        <v/>
      </c>
      <c r="D101">
        <f>IF(OR(B101="—",C101="—"),"—",B101-C101)</f>
        <v/>
      </c>
      <c r="E101">
        <f>IF(B101="—","Missing in Billing",IF(C101="—","Missing in ERP",IF(D101=0,"✓ Match","⚠ Investigate")))</f>
        <v/>
      </c>
    </row>
    <row r="102">
      <c r="A102" t="inlineStr">
        <is>
          <t>INV-00101</t>
        </is>
      </c>
      <c r="B102">
        <f>IFERROR(INDEX(Billing_Extract!$D$2:$D$121,MATCH($A102,Billing_Extract!$A$2:$A$121,0)),"—")</f>
        <v/>
      </c>
      <c r="C102">
        <f>IFERROR(INDEX(ERP_Extract!$D$2:$D$120,MATCH($A102,ERP_Extract!$A$2:$A$120,0)),"—")</f>
        <v/>
      </c>
      <c r="D102">
        <f>IF(OR(B102="—",C102="—"),"—",B102-C102)</f>
        <v/>
      </c>
      <c r="E102">
        <f>IF(B102="—","Missing in Billing",IF(C102="—","Missing in ERP",IF(D102=0,"✓ Match","⚠ Investigate")))</f>
        <v/>
      </c>
    </row>
    <row r="103">
      <c r="A103" t="inlineStr">
        <is>
          <t>INV-00102</t>
        </is>
      </c>
      <c r="B103">
        <f>IFERROR(INDEX(Billing_Extract!$D$2:$D$121,MATCH($A103,Billing_Extract!$A$2:$A$121,0)),"—")</f>
        <v/>
      </c>
      <c r="C103">
        <f>IFERROR(INDEX(ERP_Extract!$D$2:$D$120,MATCH($A103,ERP_Extract!$A$2:$A$120,0)),"—")</f>
        <v/>
      </c>
      <c r="D103">
        <f>IF(OR(B103="—",C103="—"),"—",B103-C103)</f>
        <v/>
      </c>
      <c r="E103">
        <f>IF(B103="—","Missing in Billing",IF(C103="—","Missing in ERP",IF(D103=0,"✓ Match","⚠ Investigate")))</f>
        <v/>
      </c>
    </row>
    <row r="104">
      <c r="A104" t="inlineStr">
        <is>
          <t>INV-00103</t>
        </is>
      </c>
      <c r="B104">
        <f>IFERROR(INDEX(Billing_Extract!$D$2:$D$121,MATCH($A104,Billing_Extract!$A$2:$A$121,0)),"—")</f>
        <v/>
      </c>
      <c r="C104">
        <f>IFERROR(INDEX(ERP_Extract!$D$2:$D$120,MATCH($A104,ERP_Extract!$A$2:$A$120,0)),"—")</f>
        <v/>
      </c>
      <c r="D104">
        <f>IF(OR(B104="—",C104="—"),"—",B104-C104)</f>
        <v/>
      </c>
      <c r="E104">
        <f>IF(B104="—","Missing in Billing",IF(C104="—","Missing in ERP",IF(D104=0,"✓ Match","⚠ Investigate")))</f>
        <v/>
      </c>
    </row>
    <row r="105">
      <c r="A105" t="inlineStr">
        <is>
          <t>INV-00104</t>
        </is>
      </c>
      <c r="B105">
        <f>IFERROR(INDEX(Billing_Extract!$D$2:$D$121,MATCH($A105,Billing_Extract!$A$2:$A$121,0)),"—")</f>
        <v/>
      </c>
      <c r="C105">
        <f>IFERROR(INDEX(ERP_Extract!$D$2:$D$120,MATCH($A105,ERP_Extract!$A$2:$A$120,0)),"—")</f>
        <v/>
      </c>
      <c r="D105">
        <f>IF(OR(B105="—",C105="—"),"—",B105-C105)</f>
        <v/>
      </c>
      <c r="E105">
        <f>IF(B105="—","Missing in Billing",IF(C105="—","Missing in ERP",IF(D105=0,"✓ Match","⚠ Investigate")))</f>
        <v/>
      </c>
    </row>
    <row r="106">
      <c r="A106" t="inlineStr">
        <is>
          <t>INV-00105</t>
        </is>
      </c>
      <c r="B106">
        <f>IFERROR(INDEX(Billing_Extract!$D$2:$D$121,MATCH($A106,Billing_Extract!$A$2:$A$121,0)),"—")</f>
        <v/>
      </c>
      <c r="C106">
        <f>IFERROR(INDEX(ERP_Extract!$D$2:$D$120,MATCH($A106,ERP_Extract!$A$2:$A$120,0)),"—")</f>
        <v/>
      </c>
      <c r="D106">
        <f>IF(OR(B106="—",C106="—"),"—",B106-C106)</f>
        <v/>
      </c>
      <c r="E106">
        <f>IF(B106="—","Missing in Billing",IF(C106="—","Missing in ERP",IF(D106=0,"✓ Match","⚠ Investigate")))</f>
        <v/>
      </c>
    </row>
    <row r="107">
      <c r="A107" t="inlineStr">
        <is>
          <t>INV-00106</t>
        </is>
      </c>
      <c r="B107">
        <f>IFERROR(INDEX(Billing_Extract!$D$2:$D$121,MATCH($A107,Billing_Extract!$A$2:$A$121,0)),"—")</f>
        <v/>
      </c>
      <c r="C107">
        <f>IFERROR(INDEX(ERP_Extract!$D$2:$D$120,MATCH($A107,ERP_Extract!$A$2:$A$120,0)),"—")</f>
        <v/>
      </c>
      <c r="D107">
        <f>IF(OR(B107="—",C107="—"),"—",B107-C107)</f>
        <v/>
      </c>
      <c r="E107">
        <f>IF(B107="—","Missing in Billing",IF(C107="—","Missing in ERP",IF(D107=0,"✓ Match","⚠ Investigate")))</f>
        <v/>
      </c>
    </row>
    <row r="108">
      <c r="A108" t="inlineStr">
        <is>
          <t>INV-00107</t>
        </is>
      </c>
      <c r="B108">
        <f>IFERROR(INDEX(Billing_Extract!$D$2:$D$121,MATCH($A108,Billing_Extract!$A$2:$A$121,0)),"—")</f>
        <v/>
      </c>
      <c r="C108">
        <f>IFERROR(INDEX(ERP_Extract!$D$2:$D$120,MATCH($A108,ERP_Extract!$A$2:$A$120,0)),"—")</f>
        <v/>
      </c>
      <c r="D108">
        <f>IF(OR(B108="—",C108="—"),"—",B108-C108)</f>
        <v/>
      </c>
      <c r="E108">
        <f>IF(B108="—","Missing in Billing",IF(C108="—","Missing in ERP",IF(D108=0,"✓ Match","⚠ Investigate")))</f>
        <v/>
      </c>
    </row>
    <row r="109">
      <c r="A109" t="inlineStr">
        <is>
          <t>INV-00108</t>
        </is>
      </c>
      <c r="B109">
        <f>IFERROR(INDEX(Billing_Extract!$D$2:$D$121,MATCH($A109,Billing_Extract!$A$2:$A$121,0)),"—")</f>
        <v/>
      </c>
      <c r="C109">
        <f>IFERROR(INDEX(ERP_Extract!$D$2:$D$120,MATCH($A109,ERP_Extract!$A$2:$A$120,0)),"—")</f>
        <v/>
      </c>
      <c r="D109">
        <f>IF(OR(B109="—",C109="—"),"—",B109-C109)</f>
        <v/>
      </c>
      <c r="E109">
        <f>IF(B109="—","Missing in Billing",IF(C109="—","Missing in ERP",IF(D109=0,"✓ Match","⚠ Investigate")))</f>
        <v/>
      </c>
    </row>
    <row r="110">
      <c r="A110" t="inlineStr">
        <is>
          <t>INV-00109</t>
        </is>
      </c>
      <c r="B110">
        <f>IFERROR(INDEX(Billing_Extract!$D$2:$D$121,MATCH($A110,Billing_Extract!$A$2:$A$121,0)),"—")</f>
        <v/>
      </c>
      <c r="C110">
        <f>IFERROR(INDEX(ERP_Extract!$D$2:$D$120,MATCH($A110,ERP_Extract!$A$2:$A$120,0)),"—")</f>
        <v/>
      </c>
      <c r="D110">
        <f>IF(OR(B110="—",C110="—"),"—",B110-C110)</f>
        <v/>
      </c>
      <c r="E110">
        <f>IF(B110="—","Missing in Billing",IF(C110="—","Missing in ERP",IF(D110=0,"✓ Match","⚠ Investigate")))</f>
        <v/>
      </c>
    </row>
    <row r="111">
      <c r="A111" t="inlineStr">
        <is>
          <t>INV-00110</t>
        </is>
      </c>
      <c r="B111">
        <f>IFERROR(INDEX(Billing_Extract!$D$2:$D$121,MATCH($A111,Billing_Extract!$A$2:$A$121,0)),"—")</f>
        <v/>
      </c>
      <c r="C111">
        <f>IFERROR(INDEX(ERP_Extract!$D$2:$D$120,MATCH($A111,ERP_Extract!$A$2:$A$120,0)),"—")</f>
        <v/>
      </c>
      <c r="D111">
        <f>IF(OR(B111="—",C111="—"),"—",B111-C111)</f>
        <v/>
      </c>
      <c r="E111">
        <f>IF(B111="—","Missing in Billing",IF(C111="—","Missing in ERP",IF(D111=0,"✓ Match","⚠ Investigate")))</f>
        <v/>
      </c>
    </row>
    <row r="112">
      <c r="A112" t="inlineStr">
        <is>
          <t>INV-00111</t>
        </is>
      </c>
      <c r="B112">
        <f>IFERROR(INDEX(Billing_Extract!$D$2:$D$121,MATCH($A112,Billing_Extract!$A$2:$A$121,0)),"—")</f>
        <v/>
      </c>
      <c r="C112">
        <f>IFERROR(INDEX(ERP_Extract!$D$2:$D$120,MATCH($A112,ERP_Extract!$A$2:$A$120,0)),"—")</f>
        <v/>
      </c>
      <c r="D112">
        <f>IF(OR(B112="—",C112="—"),"—",B112-C112)</f>
        <v/>
      </c>
      <c r="E112">
        <f>IF(B112="—","Missing in Billing",IF(C112="—","Missing in ERP",IF(D112=0,"✓ Match","⚠ Investigate")))</f>
        <v/>
      </c>
    </row>
    <row r="113">
      <c r="A113" t="inlineStr">
        <is>
          <t>INV-00112</t>
        </is>
      </c>
      <c r="B113">
        <f>IFERROR(INDEX(Billing_Extract!$D$2:$D$121,MATCH($A113,Billing_Extract!$A$2:$A$121,0)),"—")</f>
        <v/>
      </c>
      <c r="C113">
        <f>IFERROR(INDEX(ERP_Extract!$D$2:$D$120,MATCH($A113,ERP_Extract!$A$2:$A$120,0)),"—")</f>
        <v/>
      </c>
      <c r="D113">
        <f>IF(OR(B113="—",C113="—"),"—",B113-C113)</f>
        <v/>
      </c>
      <c r="E113">
        <f>IF(B113="—","Missing in Billing",IF(C113="—","Missing in ERP",IF(D113=0,"✓ Match","⚠ Investigate")))</f>
        <v/>
      </c>
    </row>
    <row r="114">
      <c r="A114" t="inlineStr">
        <is>
          <t>INV-00113</t>
        </is>
      </c>
      <c r="B114">
        <f>IFERROR(INDEX(Billing_Extract!$D$2:$D$121,MATCH($A114,Billing_Extract!$A$2:$A$121,0)),"—")</f>
        <v/>
      </c>
      <c r="C114">
        <f>IFERROR(INDEX(ERP_Extract!$D$2:$D$120,MATCH($A114,ERP_Extract!$A$2:$A$120,0)),"—")</f>
        <v/>
      </c>
      <c r="D114">
        <f>IF(OR(B114="—",C114="—"),"—",B114-C114)</f>
        <v/>
      </c>
      <c r="E114">
        <f>IF(B114="—","Missing in Billing",IF(C114="—","Missing in ERP",IF(D114=0,"✓ Match","⚠ Investigate")))</f>
        <v/>
      </c>
    </row>
    <row r="115">
      <c r="A115" t="inlineStr">
        <is>
          <t>INV-00114</t>
        </is>
      </c>
      <c r="B115">
        <f>IFERROR(INDEX(Billing_Extract!$D$2:$D$121,MATCH($A115,Billing_Extract!$A$2:$A$121,0)),"—")</f>
        <v/>
      </c>
      <c r="C115">
        <f>IFERROR(INDEX(ERP_Extract!$D$2:$D$120,MATCH($A115,ERP_Extract!$A$2:$A$120,0)),"—")</f>
        <v/>
      </c>
      <c r="D115">
        <f>IF(OR(B115="—",C115="—"),"—",B115-C115)</f>
        <v/>
      </c>
      <c r="E115">
        <f>IF(B115="—","Missing in Billing",IF(C115="—","Missing in ERP",IF(D115=0,"✓ Match","⚠ Investigate")))</f>
        <v/>
      </c>
    </row>
    <row r="116">
      <c r="A116" t="inlineStr">
        <is>
          <t>INV-00115</t>
        </is>
      </c>
      <c r="B116">
        <f>IFERROR(INDEX(Billing_Extract!$D$2:$D$121,MATCH($A116,Billing_Extract!$A$2:$A$121,0)),"—")</f>
        <v/>
      </c>
      <c r="C116">
        <f>IFERROR(INDEX(ERP_Extract!$D$2:$D$120,MATCH($A116,ERP_Extract!$A$2:$A$120,0)),"—")</f>
        <v/>
      </c>
      <c r="D116">
        <f>IF(OR(B116="—",C116="—"),"—",B116-C116)</f>
        <v/>
      </c>
      <c r="E116">
        <f>IF(B116="—","Missing in Billing",IF(C116="—","Missing in ERP",IF(D116=0,"✓ Match","⚠ Investigate")))</f>
        <v/>
      </c>
    </row>
    <row r="117">
      <c r="A117" t="inlineStr">
        <is>
          <t>INV-00116</t>
        </is>
      </c>
      <c r="B117">
        <f>IFERROR(INDEX(Billing_Extract!$D$2:$D$121,MATCH($A117,Billing_Extract!$A$2:$A$121,0)),"—")</f>
        <v/>
      </c>
      <c r="C117">
        <f>IFERROR(INDEX(ERP_Extract!$D$2:$D$120,MATCH($A117,ERP_Extract!$A$2:$A$120,0)),"—")</f>
        <v/>
      </c>
      <c r="D117">
        <f>IF(OR(B117="—",C117="—"),"—",B117-C117)</f>
        <v/>
      </c>
      <c r="E117">
        <f>IF(B117="—","Missing in Billing",IF(C117="—","Missing in ERP",IF(D117=0,"✓ Match","⚠ Investigate")))</f>
        <v/>
      </c>
    </row>
    <row r="118">
      <c r="A118" t="inlineStr">
        <is>
          <t>INV-00117</t>
        </is>
      </c>
      <c r="B118">
        <f>IFERROR(INDEX(Billing_Extract!$D$2:$D$121,MATCH($A118,Billing_Extract!$A$2:$A$121,0)),"—")</f>
        <v/>
      </c>
      <c r="C118">
        <f>IFERROR(INDEX(ERP_Extract!$D$2:$D$120,MATCH($A118,ERP_Extract!$A$2:$A$120,0)),"—")</f>
        <v/>
      </c>
      <c r="D118">
        <f>IF(OR(B118="—",C118="—"),"—",B118-C118)</f>
        <v/>
      </c>
      <c r="E118">
        <f>IF(B118="—","Missing in Billing",IF(C118="—","Missing in ERP",IF(D118=0,"✓ Match","⚠ Investigate")))</f>
        <v/>
      </c>
    </row>
    <row r="119">
      <c r="A119" t="inlineStr">
        <is>
          <t>INV-00118</t>
        </is>
      </c>
      <c r="B119">
        <f>IFERROR(INDEX(Billing_Extract!$D$2:$D$121,MATCH($A119,Billing_Extract!$A$2:$A$121,0)),"—")</f>
        <v/>
      </c>
      <c r="C119">
        <f>IFERROR(INDEX(ERP_Extract!$D$2:$D$120,MATCH($A119,ERP_Extract!$A$2:$A$120,0)),"—")</f>
        <v/>
      </c>
      <c r="D119">
        <f>IF(OR(B119="—",C119="—"),"—",B119-C119)</f>
        <v/>
      </c>
      <c r="E119">
        <f>IF(B119="—","Missing in Billing",IF(C119="—","Missing in ERP",IF(D119=0,"✓ Match","⚠ Investigate")))</f>
        <v/>
      </c>
    </row>
    <row r="120">
      <c r="A120" t="inlineStr">
        <is>
          <t>INV-00119</t>
        </is>
      </c>
      <c r="B120">
        <f>IFERROR(INDEX(Billing_Extract!$D$2:$D$121,MATCH($A120,Billing_Extract!$A$2:$A$121,0)),"—")</f>
        <v/>
      </c>
      <c r="C120">
        <f>IFERROR(INDEX(ERP_Extract!$D$2:$D$120,MATCH($A120,ERP_Extract!$A$2:$A$120,0)),"—")</f>
        <v/>
      </c>
      <c r="D120">
        <f>IF(OR(B120="—",C120="—"),"—",B120-C120)</f>
        <v/>
      </c>
      <c r="E120">
        <f>IF(B120="—","Missing in Billing",IF(C120="—","Missing in ERP",IF(D120=0,"✓ Match","⚠ Investigate")))</f>
        <v/>
      </c>
    </row>
    <row r="121">
      <c r="A121" t="inlineStr">
        <is>
          <t>INV-00120</t>
        </is>
      </c>
      <c r="B121">
        <f>IFERROR(INDEX(Billing_Extract!$D$2:$D$121,MATCH($A121,Billing_Extract!$A$2:$A$121,0)),"—")</f>
        <v/>
      </c>
      <c r="C121">
        <f>IFERROR(INDEX(ERP_Extract!$D$2:$D$120,MATCH($A121,ERP_Extract!$A$2:$A$120,0)),"—")</f>
        <v/>
      </c>
      <c r="D121">
        <f>IF(OR(B121="—",C121="—"),"—",B121-C121)</f>
        <v/>
      </c>
      <c r="E121">
        <f>IF(B121="—","Missing in Billing",IF(C121="—","Missing in ERP",IF(D121=0,"✓ Match","⚠ Investigate")))</f>
        <v/>
      </c>
    </row>
    <row r="122">
      <c r="A122" t="inlineStr">
        <is>
          <t>INV-90001</t>
        </is>
      </c>
      <c r="B122">
        <f>IFERROR(INDEX(Billing_Extract!$D$2:$D$121,MATCH($A122,Billing_Extract!$A$2:$A$121,0)),"—")</f>
        <v/>
      </c>
      <c r="C122">
        <f>IFERROR(INDEX(ERP_Extract!$D$2:$D$120,MATCH($A122,ERP_Extract!$A$2:$A$120,0)),"—")</f>
        <v/>
      </c>
      <c r="D122">
        <f>IF(OR(B122="—",C122="—"),"—",B122-C122)</f>
        <v/>
      </c>
      <c r="E122">
        <f>IF(B122="—","Missing in Billing",IF(C122="—","Missing in ERP",IF(D122=0,"✓ Match","⚠ Investigate")))</f>
        <v/>
      </c>
    </row>
    <row r="123">
      <c r="A123" t="inlineStr">
        <is>
          <t>INV-90002</t>
        </is>
      </c>
      <c r="B123">
        <f>IFERROR(INDEX(Billing_Extract!$D$2:$D$121,MATCH($A123,Billing_Extract!$A$2:$A$121,0)),"—")</f>
        <v/>
      </c>
      <c r="C123">
        <f>IFERROR(INDEX(ERP_Extract!$D$2:$D$120,MATCH($A123,ERP_Extract!$A$2:$A$120,0)),"—")</f>
        <v/>
      </c>
      <c r="D123">
        <f>IF(OR(B123="—",C123="—"),"—",B123-C123)</f>
        <v/>
      </c>
      <c r="E123">
        <f>IF(B123="—","Missing in Billing",IF(C123="—","Missing in ERP",IF(D123=0,"✓ Match","⚠ Investigate")))</f>
        <v/>
      </c>
    </row>
  </sheetData>
  <conditionalFormatting sqref="E2:E123">
    <cfRule type="cellIs" priority="1" operator="equal" dxfId="0">
      <formula>"✓ Match"</formula>
    </cfRule>
    <cfRule type="cellIs" priority="2" operator="equal" dxfId="1">
      <formula>"⚠ Investigate"</formula>
    </cfRule>
    <cfRule type="cellIs" priority="3" operator="notEqual" dxfId="2">
      <formula>"✓ Match"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Revenue Reconciliation — Summary</t>
        </is>
      </c>
    </row>
    <row r="3">
      <c r="A3" s="3" t="inlineStr">
        <is>
          <t>Total invoices (Billing)</t>
        </is>
      </c>
      <c r="B3">
        <f>COUNTA(Billing_Extract!A2:A121)</f>
        <v/>
      </c>
      <c r="D3" t="inlineStr">
        <is>
          <t>Category</t>
        </is>
      </c>
      <c r="E3" t="inlineStr">
        <is>
          <t>Count</t>
        </is>
      </c>
    </row>
    <row r="4">
      <c r="A4" s="3" t="inlineStr">
        <is>
          <t>Total invoices (ERP)</t>
        </is>
      </c>
      <c r="B4">
        <f>COUNTA(ERP_Extract!A2:A120)</f>
        <v/>
      </c>
      <c r="D4" t="inlineStr">
        <is>
          <t>Matched</t>
        </is>
      </c>
      <c r="E4">
        <f>B4</f>
        <v/>
      </c>
    </row>
    <row r="5">
      <c r="A5" s="3" t="inlineStr">
        <is>
          <t>Matched</t>
        </is>
      </c>
      <c r="B5">
        <f>COUNTIF(Reconciliation!E2:E123,"✓ Match")</f>
        <v/>
      </c>
      <c r="D5" t="inlineStr">
        <is>
          <t>Investigate</t>
        </is>
      </c>
      <c r="E5">
        <f>B5</f>
        <v/>
      </c>
    </row>
    <row r="6">
      <c r="A6" s="3" t="inlineStr">
        <is>
          <t>Variances to investigate</t>
        </is>
      </c>
      <c r="B6">
        <f>COUNTIF(Reconciliation!E2:E123,"⚠ Investigate")</f>
        <v/>
      </c>
      <c r="D6" t="inlineStr">
        <is>
          <t>Missing in ERP</t>
        </is>
      </c>
      <c r="E6">
        <f>B6</f>
        <v/>
      </c>
    </row>
    <row r="7">
      <c r="A7" s="3" t="inlineStr">
        <is>
          <t>Missing in ERP</t>
        </is>
      </c>
      <c r="B7">
        <f>COUNTIF(Reconciliation!E2:E123,"Missing in ERP")</f>
        <v/>
      </c>
      <c r="D7" t="inlineStr">
        <is>
          <t>Missing in Billing</t>
        </is>
      </c>
      <c r="E7">
        <f>B7</f>
        <v/>
      </c>
    </row>
    <row r="8">
      <c r="A8" s="3" t="inlineStr">
        <is>
          <t>Missing in Billing</t>
        </is>
      </c>
      <c r="B8">
        <f>COUNTIF(Reconciliation!E2:E123,"Missing in Billing")</f>
        <v/>
      </c>
    </row>
    <row r="9">
      <c r="A9" s="3" t="inlineStr">
        <is>
          <t>Total billing amount</t>
        </is>
      </c>
      <c r="B9" s="4">
        <f>SUM(Billing_Extract!D2:D121)</f>
        <v/>
      </c>
    </row>
    <row r="10">
      <c r="A10" s="3" t="inlineStr">
        <is>
          <t>Total ERP amount</t>
        </is>
      </c>
      <c r="B10" s="4">
        <f>SUM(ERP_Extract!D2:D120)</f>
        <v/>
      </c>
    </row>
    <row r="11">
      <c r="A11" s="3" t="inlineStr">
        <is>
          <t>Net variance</t>
        </is>
      </c>
      <c r="B11" s="4">
        <f>B8-B9</f>
        <v/>
      </c>
    </row>
    <row r="12">
      <c r="A12" s="3" t="inlineStr">
        <is>
          <t>Match rate</t>
        </is>
      </c>
      <c r="B12" s="5">
        <f>B4/(B4+B5+B6+B7)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2026-09-25T17:58:07+00:00Z</dcterms:created>
  <dcterms:modified xmlns:dcterms="http://purl.org/dc/terms/" xmlns:xsi="http://www.w3.org/2001/XMLSchema-instance" xsi:type="dcterms:W3CDTF">2026-09-25T17:58:07+00:00Z</dcterms:modified>
</cp:coreProperties>
</file>