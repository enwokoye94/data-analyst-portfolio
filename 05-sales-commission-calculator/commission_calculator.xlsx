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Plan" sheetId="2" state="visible" r:id="rId2"/>
    <sheet name="Rep Summary" sheetId="3" state="visible" r:id="rId3"/>
    <sheet name="Dashboard" sheetId="4" state="visible" r:id="rId4"/>
  </sheets>
  <definedNames>
    <definedName name="rate_t1">Plan!$B$4</definedName>
    <definedName name="rate_t2">Plan!$B$5</definedName>
    <definedName name="rate_t3">Plan!$B$6</definedName>
    <definedName name="rate_accel">Plan!$B$7</definedName>
    <definedName name="accel_mult">Plan!$B$8</definedName>
    <definedName name="spiff_amt">Plan!$B$9</definedName>
    <definedName name="qtr_draw">Plan!$B$11</definedName>
    <definedName name="t2_mult">Plan!$B$12</definedName>
    <definedName name="d_rep">Deals!$B$2:$B$532</definedName>
    <definedName name="d_qtr">Deals!$D$2:$D$532</definedName>
    <definedName name="d_size">Deals!$F$2:$F$532</definedName>
    <definedName name="d_newlogo">Deals!$G$2:$G$532</definedName>
    <definedName name="rs_rep">'Rep Summary'!$A$2:$A$49</definedName>
    <definedName name="rs_qtr">'Rep Summary'!$C$2:$C$49</definedName>
    <definedName name="rs_att">'Rep Summary'!$F$2:$F$49</definedName>
    <definedName name="rs_comm">'Rep Summary'!$M$2:$M$49</definedName>
    <definedName name="rs_spiff">'Rep Summary'!$L$2:$L$49</definedName>
    <definedName name="rs_payout">'Rep Summary'!$O$2:$O$49</definedName>
    <definedName name="rs_band">'Rep Summary'!$Q$2:$Q$49</definedName>
    <definedName name="_xlnm._FilterDatabase" localSheetId="0" hidden="1">'Deals'!$A$1:$G$532</definedName>
    <definedName name="_xlnm._FilterDatabase" localSheetId="2" hidden="1">'Rep Summary'!$A$1:$Q$49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6"/>
    </font>
    <font>
      <i val="1"/>
      <color rgb="00595959"/>
    </font>
    <font>
      <b val="1"/>
      <color rgb="001F386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5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4" fillId="0" borderId="0" pivotButton="0" quotePrefix="0" xfId="0"/>
    <xf numFmtId="165" fontId="0" fillId="0" borderId="1" applyAlignment="1" pivotButton="0" quotePrefix="0" xfId="0">
      <alignment vertical="center"/>
    </xf>
    <xf numFmtId="3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Payout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'Dashboard'!B41</f>
            </strRef>
          </tx>
          <spPr>
            <a:ln>
              <a:prstDash val="solid"/>
            </a:ln>
          </spPr>
          <cat>
            <numRef>
              <f>'Dashboard'!$A$42:$A$45</f>
            </numRef>
          </cat>
          <val>
            <numRef>
              <f>'Dashboard'!$B$42:$B$45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Attainment distribution (rep-quarters)</a:t>
            </a:r>
          </a:p>
        </rich>
      </tx>
    </title>
    <plotArea>
      <pieChart>
        <varyColors val="1"/>
        <ser>
          <idx val="0"/>
          <order val="0"/>
          <tx>
            <strRef>
              <f>'Dashboard'!B33</f>
            </strRef>
          </tx>
          <spPr>
            <a:ln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G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8" customWidth="1" min="5" max="5"/>
    <col width="13" customWidth="1" min="6" max="6"/>
    <col width="10" customWidth="1" min="7" max="7"/>
  </cols>
  <sheetData>
    <row r="1">
      <c r="A1" s="1" t="inlineStr">
        <is>
          <t>deal_id</t>
        </is>
      </c>
      <c r="B1" s="1" t="inlineStr">
        <is>
          <t>rep_name</t>
        </is>
      </c>
      <c r="C1" s="1" t="inlineStr">
        <is>
          <t>region</t>
        </is>
      </c>
      <c r="D1" s="1" t="inlineStr">
        <is>
          <t>quarter</t>
        </is>
      </c>
      <c r="E1" s="1" t="inlineStr">
        <is>
          <t>product_line</t>
        </is>
      </c>
      <c r="F1" s="1" t="inlineStr">
        <is>
          <t>deal_size</t>
        </is>
      </c>
      <c r="G1" s="1" t="inlineStr">
        <is>
          <t>new_logo</t>
        </is>
      </c>
    </row>
    <row r="2">
      <c r="A2" s="2" t="inlineStr">
        <is>
          <t>D-0001</t>
        </is>
      </c>
      <c r="B2" s="2" t="inlineStr">
        <is>
          <t>Marcus Webb</t>
        </is>
      </c>
      <c r="C2" s="2" t="inlineStr">
        <is>
          <t>West</t>
        </is>
      </c>
      <c r="D2" s="2" t="inlineStr">
        <is>
          <t>Q1</t>
        </is>
      </c>
      <c r="E2" s="2" t="inlineStr">
        <is>
          <t>Core Platform</t>
        </is>
      </c>
      <c r="F2" s="3" t="n">
        <v>7288</v>
      </c>
      <c r="G2" s="2" t="inlineStr">
        <is>
          <t>Y</t>
        </is>
      </c>
    </row>
    <row r="3">
      <c r="A3" s="2" t="inlineStr">
        <is>
          <t>D-0002</t>
        </is>
      </c>
      <c r="B3" s="2" t="inlineStr">
        <is>
          <t>Marcus Webb</t>
        </is>
      </c>
      <c r="C3" s="2" t="inlineStr">
        <is>
          <t>West</t>
        </is>
      </c>
      <c r="D3" s="2" t="inlineStr">
        <is>
          <t>Q1</t>
        </is>
      </c>
      <c r="E3" s="2" t="inlineStr">
        <is>
          <t>Enterprise Suite</t>
        </is>
      </c>
      <c r="F3" s="3" t="n">
        <v>82597</v>
      </c>
      <c r="G3" s="2" t="inlineStr">
        <is>
          <t>N</t>
        </is>
      </c>
    </row>
    <row r="4">
      <c r="A4" s="2" t="inlineStr">
        <is>
          <t>D-0003</t>
        </is>
      </c>
      <c r="B4" s="2" t="inlineStr">
        <is>
          <t>Marcus Webb</t>
        </is>
      </c>
      <c r="C4" s="2" t="inlineStr">
        <is>
          <t>West</t>
        </is>
      </c>
      <c r="D4" s="2" t="inlineStr">
        <is>
          <t>Q1</t>
        </is>
      </c>
      <c r="E4" s="2" t="inlineStr">
        <is>
          <t>Core Platform</t>
        </is>
      </c>
      <c r="F4" s="3" t="n">
        <v>19597</v>
      </c>
      <c r="G4" s="2" t="inlineStr">
        <is>
          <t>Y</t>
        </is>
      </c>
    </row>
    <row r="5">
      <c r="A5" s="2" t="inlineStr">
        <is>
          <t>D-0004</t>
        </is>
      </c>
      <c r="B5" s="2" t="inlineStr">
        <is>
          <t>Marcus Webb</t>
        </is>
      </c>
      <c r="C5" s="2" t="inlineStr">
        <is>
          <t>West</t>
        </is>
      </c>
      <c r="D5" s="2" t="inlineStr">
        <is>
          <t>Q1</t>
        </is>
      </c>
      <c r="E5" s="2" t="inlineStr">
        <is>
          <t>Core Platform</t>
        </is>
      </c>
      <c r="F5" s="3" t="n">
        <v>26561</v>
      </c>
      <c r="G5" s="2" t="inlineStr">
        <is>
          <t>Y</t>
        </is>
      </c>
    </row>
    <row r="6">
      <c r="A6" s="2" t="inlineStr">
        <is>
          <t>D-0005</t>
        </is>
      </c>
      <c r="B6" s="2" t="inlineStr">
        <is>
          <t>Marcus Webb</t>
        </is>
      </c>
      <c r="C6" s="2" t="inlineStr">
        <is>
          <t>West</t>
        </is>
      </c>
      <c r="D6" s="2" t="inlineStr">
        <is>
          <t>Q1</t>
        </is>
      </c>
      <c r="E6" s="2" t="inlineStr">
        <is>
          <t>Core Platform</t>
        </is>
      </c>
      <c r="F6" s="3" t="n">
        <v>30286</v>
      </c>
      <c r="G6" s="2" t="inlineStr">
        <is>
          <t>Y</t>
        </is>
      </c>
    </row>
    <row r="7">
      <c r="A7" s="2" t="inlineStr">
        <is>
          <t>D-0006</t>
        </is>
      </c>
      <c r="B7" s="2" t="inlineStr">
        <is>
          <t>Marcus Webb</t>
        </is>
      </c>
      <c r="C7" s="2" t="inlineStr">
        <is>
          <t>West</t>
        </is>
      </c>
      <c r="D7" s="2" t="inlineStr">
        <is>
          <t>Q1</t>
        </is>
      </c>
      <c r="E7" s="2" t="inlineStr">
        <is>
          <t>Core Platform</t>
        </is>
      </c>
      <c r="F7" s="3" t="n">
        <v>50530</v>
      </c>
      <c r="G7" s="2" t="inlineStr">
        <is>
          <t>N</t>
        </is>
      </c>
    </row>
    <row r="8">
      <c r="A8" s="2" t="inlineStr">
        <is>
          <t>D-0007</t>
        </is>
      </c>
      <c r="B8" s="2" t="inlineStr">
        <is>
          <t>Marcus Webb</t>
        </is>
      </c>
      <c r="C8" s="2" t="inlineStr">
        <is>
          <t>West</t>
        </is>
      </c>
      <c r="D8" s="2" t="inlineStr">
        <is>
          <t>Q1</t>
        </is>
      </c>
      <c r="E8" s="2" t="inlineStr">
        <is>
          <t>Core Platform</t>
        </is>
      </c>
      <c r="F8" s="3" t="n">
        <v>16357</v>
      </c>
      <c r="G8" s="2" t="inlineStr">
        <is>
          <t>N</t>
        </is>
      </c>
    </row>
    <row r="9">
      <c r="A9" s="2" t="inlineStr">
        <is>
          <t>D-0008</t>
        </is>
      </c>
      <c r="B9" s="2" t="inlineStr">
        <is>
          <t>Marcus Webb</t>
        </is>
      </c>
      <c r="C9" s="2" t="inlineStr">
        <is>
          <t>West</t>
        </is>
      </c>
      <c r="D9" s="2" t="inlineStr">
        <is>
          <t>Q1</t>
        </is>
      </c>
      <c r="E9" s="2" t="inlineStr">
        <is>
          <t>Core Platform</t>
        </is>
      </c>
      <c r="F9" s="3" t="n">
        <v>44376</v>
      </c>
      <c r="G9" s="2" t="inlineStr">
        <is>
          <t>N</t>
        </is>
      </c>
    </row>
    <row r="10">
      <c r="A10" s="2" t="inlineStr">
        <is>
          <t>D-0009</t>
        </is>
      </c>
      <c r="B10" s="2" t="inlineStr">
        <is>
          <t>Marcus Webb</t>
        </is>
      </c>
      <c r="C10" s="2" t="inlineStr">
        <is>
          <t>West</t>
        </is>
      </c>
      <c r="D10" s="2" t="inlineStr">
        <is>
          <t>Q1</t>
        </is>
      </c>
      <c r="E10" s="2" t="inlineStr">
        <is>
          <t>Add-on Services</t>
        </is>
      </c>
      <c r="F10" s="3" t="n">
        <v>15548</v>
      </c>
      <c r="G10" s="2" t="inlineStr">
        <is>
          <t>N</t>
        </is>
      </c>
    </row>
    <row r="11">
      <c r="A11" s="2" t="inlineStr">
        <is>
          <t>D-0010</t>
        </is>
      </c>
      <c r="B11" s="2" t="inlineStr">
        <is>
          <t>Marcus Webb</t>
        </is>
      </c>
      <c r="C11" s="2" t="inlineStr">
        <is>
          <t>West</t>
        </is>
      </c>
      <c r="D11" s="2" t="inlineStr">
        <is>
          <t>Q1</t>
        </is>
      </c>
      <c r="E11" s="2" t="inlineStr">
        <is>
          <t>Add-on Services</t>
        </is>
      </c>
      <c r="F11" s="3" t="n">
        <v>7450</v>
      </c>
      <c r="G11" s="2" t="inlineStr">
        <is>
          <t>Y</t>
        </is>
      </c>
    </row>
    <row r="12">
      <c r="A12" s="2" t="inlineStr">
        <is>
          <t>D-0011</t>
        </is>
      </c>
      <c r="B12" s="2" t="inlineStr">
        <is>
          <t>Marcus Webb</t>
        </is>
      </c>
      <c r="C12" s="2" t="inlineStr">
        <is>
          <t>West</t>
        </is>
      </c>
      <c r="D12" s="2" t="inlineStr">
        <is>
          <t>Q1</t>
        </is>
      </c>
      <c r="E12" s="2" t="inlineStr">
        <is>
          <t>Add-on Services</t>
        </is>
      </c>
      <c r="F12" s="3" t="n">
        <v>21864</v>
      </c>
      <c r="G12" s="2" t="inlineStr">
        <is>
          <t>N</t>
        </is>
      </c>
    </row>
    <row r="13">
      <c r="A13" s="2" t="inlineStr">
        <is>
          <t>D-0012</t>
        </is>
      </c>
      <c r="B13" s="2" t="inlineStr">
        <is>
          <t>Marcus Webb</t>
        </is>
      </c>
      <c r="C13" s="2" t="inlineStr">
        <is>
          <t>West</t>
        </is>
      </c>
      <c r="D13" s="2" t="inlineStr">
        <is>
          <t>Q1</t>
        </is>
      </c>
      <c r="E13" s="2" t="inlineStr">
        <is>
          <t>Enterprise Suite</t>
        </is>
      </c>
      <c r="F13" s="3" t="n">
        <v>108996</v>
      </c>
      <c r="G13" s="2" t="inlineStr">
        <is>
          <t>N</t>
        </is>
      </c>
    </row>
    <row r="14">
      <c r="A14" s="2" t="inlineStr">
        <is>
          <t>D-0013</t>
        </is>
      </c>
      <c r="B14" s="2" t="inlineStr">
        <is>
          <t>Marcus Webb</t>
        </is>
      </c>
      <c r="C14" s="2" t="inlineStr">
        <is>
          <t>West</t>
        </is>
      </c>
      <c r="D14" s="2" t="inlineStr">
        <is>
          <t>Q2</t>
        </is>
      </c>
      <c r="E14" s="2" t="inlineStr">
        <is>
          <t>Core Platform</t>
        </is>
      </c>
      <c r="F14" s="3" t="n">
        <v>50063</v>
      </c>
      <c r="G14" s="2" t="inlineStr">
        <is>
          <t>Y</t>
        </is>
      </c>
    </row>
    <row r="15">
      <c r="A15" s="2" t="inlineStr">
        <is>
          <t>D-0014</t>
        </is>
      </c>
      <c r="B15" s="2" t="inlineStr">
        <is>
          <t>Marcus Webb</t>
        </is>
      </c>
      <c r="C15" s="2" t="inlineStr">
        <is>
          <t>West</t>
        </is>
      </c>
      <c r="D15" s="2" t="inlineStr">
        <is>
          <t>Q2</t>
        </is>
      </c>
      <c r="E15" s="2" t="inlineStr">
        <is>
          <t>Core Platform</t>
        </is>
      </c>
      <c r="F15" s="3" t="n">
        <v>45864</v>
      </c>
      <c r="G15" s="2" t="inlineStr">
        <is>
          <t>Y</t>
        </is>
      </c>
    </row>
    <row r="16">
      <c r="A16" s="2" t="inlineStr">
        <is>
          <t>D-0015</t>
        </is>
      </c>
      <c r="B16" s="2" t="inlineStr">
        <is>
          <t>Marcus Webb</t>
        </is>
      </c>
      <c r="C16" s="2" t="inlineStr">
        <is>
          <t>West</t>
        </is>
      </c>
      <c r="D16" s="2" t="inlineStr">
        <is>
          <t>Q2</t>
        </is>
      </c>
      <c r="E16" s="2" t="inlineStr">
        <is>
          <t>Add-on Services</t>
        </is>
      </c>
      <c r="F16" s="3" t="n">
        <v>27131</v>
      </c>
      <c r="G16" s="2" t="inlineStr">
        <is>
          <t>N</t>
        </is>
      </c>
    </row>
    <row r="17">
      <c r="A17" s="2" t="inlineStr">
        <is>
          <t>D-0016</t>
        </is>
      </c>
      <c r="B17" s="2" t="inlineStr">
        <is>
          <t>Marcus Webb</t>
        </is>
      </c>
      <c r="C17" s="2" t="inlineStr">
        <is>
          <t>West</t>
        </is>
      </c>
      <c r="D17" s="2" t="inlineStr">
        <is>
          <t>Q2</t>
        </is>
      </c>
      <c r="E17" s="2" t="inlineStr">
        <is>
          <t>Core Platform</t>
        </is>
      </c>
      <c r="F17" s="3" t="n">
        <v>30684</v>
      </c>
      <c r="G17" s="2" t="inlineStr">
        <is>
          <t>N</t>
        </is>
      </c>
    </row>
    <row r="18">
      <c r="A18" s="2" t="inlineStr">
        <is>
          <t>D-0017</t>
        </is>
      </c>
      <c r="B18" s="2" t="inlineStr">
        <is>
          <t>Marcus Webb</t>
        </is>
      </c>
      <c r="C18" s="2" t="inlineStr">
        <is>
          <t>West</t>
        </is>
      </c>
      <c r="D18" s="2" t="inlineStr">
        <is>
          <t>Q2</t>
        </is>
      </c>
      <c r="E18" s="2" t="inlineStr">
        <is>
          <t>Core Platform</t>
        </is>
      </c>
      <c r="F18" s="3" t="n">
        <v>23255</v>
      </c>
      <c r="G18" s="2" t="inlineStr">
        <is>
          <t>N</t>
        </is>
      </c>
    </row>
    <row r="19">
      <c r="A19" s="2" t="inlineStr">
        <is>
          <t>D-0018</t>
        </is>
      </c>
      <c r="B19" s="2" t="inlineStr">
        <is>
          <t>Marcus Webb</t>
        </is>
      </c>
      <c r="C19" s="2" t="inlineStr">
        <is>
          <t>West</t>
        </is>
      </c>
      <c r="D19" s="2" t="inlineStr">
        <is>
          <t>Q2</t>
        </is>
      </c>
      <c r="E19" s="2" t="inlineStr">
        <is>
          <t>Core Platform</t>
        </is>
      </c>
      <c r="F19" s="3" t="n">
        <v>79778</v>
      </c>
      <c r="G19" s="2" t="inlineStr">
        <is>
          <t>Y</t>
        </is>
      </c>
    </row>
    <row r="20">
      <c r="A20" s="2" t="inlineStr">
        <is>
          <t>D-0019</t>
        </is>
      </c>
      <c r="B20" s="2" t="inlineStr">
        <is>
          <t>Marcus Webb</t>
        </is>
      </c>
      <c r="C20" s="2" t="inlineStr">
        <is>
          <t>West</t>
        </is>
      </c>
      <c r="D20" s="2" t="inlineStr">
        <is>
          <t>Q2</t>
        </is>
      </c>
      <c r="E20" s="2" t="inlineStr">
        <is>
          <t>Core Platform</t>
        </is>
      </c>
      <c r="F20" s="3" t="n">
        <v>22609</v>
      </c>
      <c r="G20" s="2" t="inlineStr">
        <is>
          <t>N</t>
        </is>
      </c>
    </row>
    <row r="21">
      <c r="A21" s="2" t="inlineStr">
        <is>
          <t>D-0020</t>
        </is>
      </c>
      <c r="B21" s="2" t="inlineStr">
        <is>
          <t>Marcus Webb</t>
        </is>
      </c>
      <c r="C21" s="2" t="inlineStr">
        <is>
          <t>West</t>
        </is>
      </c>
      <c r="D21" s="2" t="inlineStr">
        <is>
          <t>Q2</t>
        </is>
      </c>
      <c r="E21" s="2" t="inlineStr">
        <is>
          <t>Core Platform</t>
        </is>
      </c>
      <c r="F21" s="3" t="n">
        <v>84623</v>
      </c>
      <c r="G21" s="2" t="inlineStr">
        <is>
          <t>N</t>
        </is>
      </c>
    </row>
    <row r="22">
      <c r="A22" s="2" t="inlineStr">
        <is>
          <t>D-0021</t>
        </is>
      </c>
      <c r="B22" s="2" t="inlineStr">
        <is>
          <t>Marcus Webb</t>
        </is>
      </c>
      <c r="C22" s="2" t="inlineStr">
        <is>
          <t>West</t>
        </is>
      </c>
      <c r="D22" s="2" t="inlineStr">
        <is>
          <t>Q2</t>
        </is>
      </c>
      <c r="E22" s="2" t="inlineStr">
        <is>
          <t>Core Platform</t>
        </is>
      </c>
      <c r="F22" s="3" t="n">
        <v>39082</v>
      </c>
      <c r="G22" s="2" t="inlineStr">
        <is>
          <t>N</t>
        </is>
      </c>
    </row>
    <row r="23">
      <c r="A23" s="2" t="inlineStr">
        <is>
          <t>D-0022</t>
        </is>
      </c>
      <c r="B23" s="2" t="inlineStr">
        <is>
          <t>Marcus Webb</t>
        </is>
      </c>
      <c r="C23" s="2" t="inlineStr">
        <is>
          <t>West</t>
        </is>
      </c>
      <c r="D23" s="2" t="inlineStr">
        <is>
          <t>Q3</t>
        </is>
      </c>
      <c r="E23" s="2" t="inlineStr">
        <is>
          <t>Core Platform</t>
        </is>
      </c>
      <c r="F23" s="3" t="n">
        <v>39335</v>
      </c>
      <c r="G23" s="2" t="inlineStr">
        <is>
          <t>N</t>
        </is>
      </c>
    </row>
    <row r="24">
      <c r="A24" s="2" t="inlineStr">
        <is>
          <t>D-0023</t>
        </is>
      </c>
      <c r="B24" s="2" t="inlineStr">
        <is>
          <t>Marcus Webb</t>
        </is>
      </c>
      <c r="C24" s="2" t="inlineStr">
        <is>
          <t>West</t>
        </is>
      </c>
      <c r="D24" s="2" t="inlineStr">
        <is>
          <t>Q3</t>
        </is>
      </c>
      <c r="E24" s="2" t="inlineStr">
        <is>
          <t>Enterprise Suite</t>
        </is>
      </c>
      <c r="F24" s="3" t="n">
        <v>50744</v>
      </c>
      <c r="G24" s="2" t="inlineStr">
        <is>
          <t>N</t>
        </is>
      </c>
    </row>
    <row r="25">
      <c r="A25" s="2" t="inlineStr">
        <is>
          <t>D-0024</t>
        </is>
      </c>
      <c r="B25" s="2" t="inlineStr">
        <is>
          <t>Marcus Webb</t>
        </is>
      </c>
      <c r="C25" s="2" t="inlineStr">
        <is>
          <t>West</t>
        </is>
      </c>
      <c r="D25" s="2" t="inlineStr">
        <is>
          <t>Q3</t>
        </is>
      </c>
      <c r="E25" s="2" t="inlineStr">
        <is>
          <t>Core Platform</t>
        </is>
      </c>
      <c r="F25" s="3" t="n">
        <v>18220</v>
      </c>
      <c r="G25" s="2" t="inlineStr">
        <is>
          <t>Y</t>
        </is>
      </c>
    </row>
    <row r="26">
      <c r="A26" s="2" t="inlineStr">
        <is>
          <t>D-0025</t>
        </is>
      </c>
      <c r="B26" s="2" t="inlineStr">
        <is>
          <t>Marcus Webb</t>
        </is>
      </c>
      <c r="C26" s="2" t="inlineStr">
        <is>
          <t>West</t>
        </is>
      </c>
      <c r="D26" s="2" t="inlineStr">
        <is>
          <t>Q3</t>
        </is>
      </c>
      <c r="E26" s="2" t="inlineStr">
        <is>
          <t>Add-on Services</t>
        </is>
      </c>
      <c r="F26" s="3" t="n">
        <v>16517</v>
      </c>
      <c r="G26" s="2" t="inlineStr">
        <is>
          <t>N</t>
        </is>
      </c>
    </row>
    <row r="27">
      <c r="A27" s="2" t="inlineStr">
        <is>
          <t>D-0026</t>
        </is>
      </c>
      <c r="B27" s="2" t="inlineStr">
        <is>
          <t>Marcus Webb</t>
        </is>
      </c>
      <c r="C27" s="2" t="inlineStr">
        <is>
          <t>West</t>
        </is>
      </c>
      <c r="D27" s="2" t="inlineStr">
        <is>
          <t>Q3</t>
        </is>
      </c>
      <c r="E27" s="2" t="inlineStr">
        <is>
          <t>Enterprise Suite</t>
        </is>
      </c>
      <c r="F27" s="3" t="n">
        <v>154105</v>
      </c>
      <c r="G27" s="2" t="inlineStr">
        <is>
          <t>N</t>
        </is>
      </c>
    </row>
    <row r="28">
      <c r="A28" s="2" t="inlineStr">
        <is>
          <t>D-0027</t>
        </is>
      </c>
      <c r="B28" s="2" t="inlineStr">
        <is>
          <t>Marcus Webb</t>
        </is>
      </c>
      <c r="C28" s="2" t="inlineStr">
        <is>
          <t>West</t>
        </is>
      </c>
      <c r="D28" s="2" t="inlineStr">
        <is>
          <t>Q3</t>
        </is>
      </c>
      <c r="E28" s="2" t="inlineStr">
        <is>
          <t>Enterprise Suite</t>
        </is>
      </c>
      <c r="F28" s="3" t="n">
        <v>105745</v>
      </c>
      <c r="G28" s="2" t="inlineStr">
        <is>
          <t>Y</t>
        </is>
      </c>
    </row>
    <row r="29">
      <c r="A29" s="2" t="inlineStr">
        <is>
          <t>D-0028</t>
        </is>
      </c>
      <c r="B29" s="2" t="inlineStr">
        <is>
          <t>Marcus Webb</t>
        </is>
      </c>
      <c r="C29" s="2" t="inlineStr">
        <is>
          <t>West</t>
        </is>
      </c>
      <c r="D29" s="2" t="inlineStr">
        <is>
          <t>Q3</t>
        </is>
      </c>
      <c r="E29" s="2" t="inlineStr">
        <is>
          <t>Add-on Services</t>
        </is>
      </c>
      <c r="F29" s="3" t="n">
        <v>12090</v>
      </c>
      <c r="G29" s="2" t="inlineStr">
        <is>
          <t>N</t>
        </is>
      </c>
    </row>
    <row r="30">
      <c r="A30" s="2" t="inlineStr">
        <is>
          <t>D-0029</t>
        </is>
      </c>
      <c r="B30" s="2" t="inlineStr">
        <is>
          <t>Marcus Webb</t>
        </is>
      </c>
      <c r="C30" s="2" t="inlineStr">
        <is>
          <t>West</t>
        </is>
      </c>
      <c r="D30" s="2" t="inlineStr">
        <is>
          <t>Q3</t>
        </is>
      </c>
      <c r="E30" s="2" t="inlineStr">
        <is>
          <t>Enterprise Suite</t>
        </is>
      </c>
      <c r="F30" s="3" t="n">
        <v>77308</v>
      </c>
      <c r="G30" s="2" t="inlineStr">
        <is>
          <t>N</t>
        </is>
      </c>
    </row>
    <row r="31">
      <c r="A31" s="2" t="inlineStr">
        <is>
          <t>D-0030</t>
        </is>
      </c>
      <c r="B31" s="2" t="inlineStr">
        <is>
          <t>Marcus Webb</t>
        </is>
      </c>
      <c r="C31" s="2" t="inlineStr">
        <is>
          <t>West</t>
        </is>
      </c>
      <c r="D31" s="2" t="inlineStr">
        <is>
          <t>Q3</t>
        </is>
      </c>
      <c r="E31" s="2" t="inlineStr">
        <is>
          <t>Add-on Services</t>
        </is>
      </c>
      <c r="F31" s="3" t="n">
        <v>10047</v>
      </c>
      <c r="G31" s="2" t="inlineStr">
        <is>
          <t>N</t>
        </is>
      </c>
    </row>
    <row r="32">
      <c r="A32" s="2" t="inlineStr">
        <is>
          <t>D-0031</t>
        </is>
      </c>
      <c r="B32" s="2" t="inlineStr">
        <is>
          <t>Marcus Webb</t>
        </is>
      </c>
      <c r="C32" s="2" t="inlineStr">
        <is>
          <t>West</t>
        </is>
      </c>
      <c r="D32" s="2" t="inlineStr">
        <is>
          <t>Q3</t>
        </is>
      </c>
      <c r="E32" s="2" t="inlineStr">
        <is>
          <t>Add-on Services</t>
        </is>
      </c>
      <c r="F32" s="3" t="n">
        <v>13623</v>
      </c>
      <c r="G32" s="2" t="inlineStr">
        <is>
          <t>N</t>
        </is>
      </c>
    </row>
    <row r="33">
      <c r="A33" s="2" t="inlineStr">
        <is>
          <t>D-0032</t>
        </is>
      </c>
      <c r="B33" s="2" t="inlineStr">
        <is>
          <t>Marcus Webb</t>
        </is>
      </c>
      <c r="C33" s="2" t="inlineStr">
        <is>
          <t>West</t>
        </is>
      </c>
      <c r="D33" s="2" t="inlineStr">
        <is>
          <t>Q3</t>
        </is>
      </c>
      <c r="E33" s="2" t="inlineStr">
        <is>
          <t>Core Platform</t>
        </is>
      </c>
      <c r="F33" s="3" t="n">
        <v>21796</v>
      </c>
      <c r="G33" s="2" t="inlineStr">
        <is>
          <t>N</t>
        </is>
      </c>
    </row>
    <row r="34">
      <c r="A34" s="2" t="inlineStr">
        <is>
          <t>D-0033</t>
        </is>
      </c>
      <c r="B34" s="2" t="inlineStr">
        <is>
          <t>Marcus Webb</t>
        </is>
      </c>
      <c r="C34" s="2" t="inlineStr">
        <is>
          <t>West</t>
        </is>
      </c>
      <c r="D34" s="2" t="inlineStr">
        <is>
          <t>Q4</t>
        </is>
      </c>
      <c r="E34" s="2" t="inlineStr">
        <is>
          <t>Core Platform</t>
        </is>
      </c>
      <c r="F34" s="3" t="n">
        <v>33226</v>
      </c>
      <c r="G34" s="2" t="inlineStr">
        <is>
          <t>Y</t>
        </is>
      </c>
    </row>
    <row r="35">
      <c r="A35" s="2" t="inlineStr">
        <is>
          <t>D-0034</t>
        </is>
      </c>
      <c r="B35" s="2" t="inlineStr">
        <is>
          <t>Marcus Webb</t>
        </is>
      </c>
      <c r="C35" s="2" t="inlineStr">
        <is>
          <t>West</t>
        </is>
      </c>
      <c r="D35" s="2" t="inlineStr">
        <is>
          <t>Q4</t>
        </is>
      </c>
      <c r="E35" s="2" t="inlineStr">
        <is>
          <t>Core Platform</t>
        </is>
      </c>
      <c r="F35" s="3" t="n">
        <v>9918</v>
      </c>
      <c r="G35" s="2" t="inlineStr">
        <is>
          <t>N</t>
        </is>
      </c>
    </row>
    <row r="36">
      <c r="A36" s="2" t="inlineStr">
        <is>
          <t>D-0035</t>
        </is>
      </c>
      <c r="B36" s="2" t="inlineStr">
        <is>
          <t>Marcus Webb</t>
        </is>
      </c>
      <c r="C36" s="2" t="inlineStr">
        <is>
          <t>West</t>
        </is>
      </c>
      <c r="D36" s="2" t="inlineStr">
        <is>
          <t>Q4</t>
        </is>
      </c>
      <c r="E36" s="2" t="inlineStr">
        <is>
          <t>Core Platform</t>
        </is>
      </c>
      <c r="F36" s="3" t="n">
        <v>17605</v>
      </c>
      <c r="G36" s="2" t="inlineStr">
        <is>
          <t>Y</t>
        </is>
      </c>
    </row>
    <row r="37">
      <c r="A37" s="2" t="inlineStr">
        <is>
          <t>D-0036</t>
        </is>
      </c>
      <c r="B37" s="2" t="inlineStr">
        <is>
          <t>Marcus Webb</t>
        </is>
      </c>
      <c r="C37" s="2" t="inlineStr">
        <is>
          <t>West</t>
        </is>
      </c>
      <c r="D37" s="2" t="inlineStr">
        <is>
          <t>Q4</t>
        </is>
      </c>
      <c r="E37" s="2" t="inlineStr">
        <is>
          <t>Enterprise Suite</t>
        </is>
      </c>
      <c r="F37" s="3" t="n">
        <v>99926</v>
      </c>
      <c r="G37" s="2" t="inlineStr">
        <is>
          <t>N</t>
        </is>
      </c>
    </row>
    <row r="38">
      <c r="A38" s="2" t="inlineStr">
        <is>
          <t>D-0037</t>
        </is>
      </c>
      <c r="B38" s="2" t="inlineStr">
        <is>
          <t>Marcus Webb</t>
        </is>
      </c>
      <c r="C38" s="2" t="inlineStr">
        <is>
          <t>West</t>
        </is>
      </c>
      <c r="D38" s="2" t="inlineStr">
        <is>
          <t>Q4</t>
        </is>
      </c>
      <c r="E38" s="2" t="inlineStr">
        <is>
          <t>Add-on Services</t>
        </is>
      </c>
      <c r="F38" s="3" t="n">
        <v>16861</v>
      </c>
      <c r="G38" s="2" t="inlineStr">
        <is>
          <t>N</t>
        </is>
      </c>
    </row>
    <row r="39">
      <c r="A39" s="2" t="inlineStr">
        <is>
          <t>D-0038</t>
        </is>
      </c>
      <c r="B39" s="2" t="inlineStr">
        <is>
          <t>Marcus Webb</t>
        </is>
      </c>
      <c r="C39" s="2" t="inlineStr">
        <is>
          <t>West</t>
        </is>
      </c>
      <c r="D39" s="2" t="inlineStr">
        <is>
          <t>Q4</t>
        </is>
      </c>
      <c r="E39" s="2" t="inlineStr">
        <is>
          <t>Add-on Services</t>
        </is>
      </c>
      <c r="F39" s="3" t="n">
        <v>21324</v>
      </c>
      <c r="G39" s="2" t="inlineStr">
        <is>
          <t>N</t>
        </is>
      </c>
    </row>
    <row r="40">
      <c r="A40" s="2" t="inlineStr">
        <is>
          <t>D-0039</t>
        </is>
      </c>
      <c r="B40" s="2" t="inlineStr">
        <is>
          <t>Marcus Webb</t>
        </is>
      </c>
      <c r="C40" s="2" t="inlineStr">
        <is>
          <t>West</t>
        </is>
      </c>
      <c r="D40" s="2" t="inlineStr">
        <is>
          <t>Q4</t>
        </is>
      </c>
      <c r="E40" s="2" t="inlineStr">
        <is>
          <t>Core Platform</t>
        </is>
      </c>
      <c r="F40" s="3" t="n">
        <v>26531</v>
      </c>
      <c r="G40" s="2" t="inlineStr">
        <is>
          <t>N</t>
        </is>
      </c>
    </row>
    <row r="41">
      <c r="A41" s="2" t="inlineStr">
        <is>
          <t>D-0040</t>
        </is>
      </c>
      <c r="B41" s="2" t="inlineStr">
        <is>
          <t>Marcus Webb</t>
        </is>
      </c>
      <c r="C41" s="2" t="inlineStr">
        <is>
          <t>West</t>
        </is>
      </c>
      <c r="D41" s="2" t="inlineStr">
        <is>
          <t>Q4</t>
        </is>
      </c>
      <c r="E41" s="2" t="inlineStr">
        <is>
          <t>Core Platform</t>
        </is>
      </c>
      <c r="F41" s="3" t="n">
        <v>57774</v>
      </c>
      <c r="G41" s="2" t="inlineStr">
        <is>
          <t>N</t>
        </is>
      </c>
    </row>
    <row r="42">
      <c r="A42" s="2" t="inlineStr">
        <is>
          <t>D-0041</t>
        </is>
      </c>
      <c r="B42" s="2" t="inlineStr">
        <is>
          <t>Marcus Webb</t>
        </is>
      </c>
      <c r="C42" s="2" t="inlineStr">
        <is>
          <t>West</t>
        </is>
      </c>
      <c r="D42" s="2" t="inlineStr">
        <is>
          <t>Q4</t>
        </is>
      </c>
      <c r="E42" s="2" t="inlineStr">
        <is>
          <t>Add-on Services</t>
        </is>
      </c>
      <c r="F42" s="3" t="n">
        <v>7935</v>
      </c>
      <c r="G42" s="2" t="inlineStr">
        <is>
          <t>N</t>
        </is>
      </c>
    </row>
    <row r="43">
      <c r="A43" s="2" t="inlineStr">
        <is>
          <t>D-0042</t>
        </is>
      </c>
      <c r="B43" s="2" t="inlineStr">
        <is>
          <t>Marcus Webb</t>
        </is>
      </c>
      <c r="C43" s="2" t="inlineStr">
        <is>
          <t>West</t>
        </is>
      </c>
      <c r="D43" s="2" t="inlineStr">
        <is>
          <t>Q4</t>
        </is>
      </c>
      <c r="E43" s="2" t="inlineStr">
        <is>
          <t>Core Platform</t>
        </is>
      </c>
      <c r="F43" s="3" t="n">
        <v>46864</v>
      </c>
      <c r="G43" s="2" t="inlineStr">
        <is>
          <t>N</t>
        </is>
      </c>
    </row>
    <row r="44">
      <c r="A44" s="2" t="inlineStr">
        <is>
          <t>D-0043</t>
        </is>
      </c>
      <c r="B44" s="2" t="inlineStr">
        <is>
          <t>Marcus Webb</t>
        </is>
      </c>
      <c r="C44" s="2" t="inlineStr">
        <is>
          <t>West</t>
        </is>
      </c>
      <c r="D44" s="2" t="inlineStr">
        <is>
          <t>Q4</t>
        </is>
      </c>
      <c r="E44" s="2" t="inlineStr">
        <is>
          <t>Core Platform</t>
        </is>
      </c>
      <c r="F44" s="3" t="n">
        <v>27275</v>
      </c>
      <c r="G44" s="2" t="inlineStr">
        <is>
          <t>N</t>
        </is>
      </c>
    </row>
    <row r="45">
      <c r="A45" s="2" t="inlineStr">
        <is>
          <t>D-0044</t>
        </is>
      </c>
      <c r="B45" s="2" t="inlineStr">
        <is>
          <t>Marcus Webb</t>
        </is>
      </c>
      <c r="C45" s="2" t="inlineStr">
        <is>
          <t>West</t>
        </is>
      </c>
      <c r="D45" s="2" t="inlineStr">
        <is>
          <t>Q4</t>
        </is>
      </c>
      <c r="E45" s="2" t="inlineStr">
        <is>
          <t>Core Platform</t>
        </is>
      </c>
      <c r="F45" s="3" t="n">
        <v>20084</v>
      </c>
      <c r="G45" s="2" t="inlineStr">
        <is>
          <t>N</t>
        </is>
      </c>
    </row>
    <row r="46">
      <c r="A46" s="2" t="inlineStr">
        <is>
          <t>D-0045</t>
        </is>
      </c>
      <c r="B46" s="2" t="inlineStr">
        <is>
          <t>Marcus Webb</t>
        </is>
      </c>
      <c r="C46" s="2" t="inlineStr">
        <is>
          <t>West</t>
        </is>
      </c>
      <c r="D46" s="2" t="inlineStr">
        <is>
          <t>Q4</t>
        </is>
      </c>
      <c r="E46" s="2" t="inlineStr">
        <is>
          <t>Enterprise Suite</t>
        </is>
      </c>
      <c r="F46" s="3" t="n">
        <v>73891</v>
      </c>
      <c r="G46" s="2" t="inlineStr">
        <is>
          <t>N</t>
        </is>
      </c>
    </row>
    <row r="47">
      <c r="A47" s="2" t="inlineStr">
        <is>
          <t>D-0046</t>
        </is>
      </c>
      <c r="B47" s="2" t="inlineStr">
        <is>
          <t>Priya Raman</t>
        </is>
      </c>
      <c r="C47" s="2" t="inlineStr">
        <is>
          <t>West</t>
        </is>
      </c>
      <c r="D47" s="2" t="inlineStr">
        <is>
          <t>Q1</t>
        </is>
      </c>
      <c r="E47" s="2" t="inlineStr">
        <is>
          <t>Add-on Services</t>
        </is>
      </c>
      <c r="F47" s="3" t="n">
        <v>6606</v>
      </c>
      <c r="G47" s="2" t="inlineStr">
        <is>
          <t>N</t>
        </is>
      </c>
    </row>
    <row r="48">
      <c r="A48" s="2" t="inlineStr">
        <is>
          <t>D-0047</t>
        </is>
      </c>
      <c r="B48" s="2" t="inlineStr">
        <is>
          <t>Priya Raman</t>
        </is>
      </c>
      <c r="C48" s="2" t="inlineStr">
        <is>
          <t>West</t>
        </is>
      </c>
      <c r="D48" s="2" t="inlineStr">
        <is>
          <t>Q1</t>
        </is>
      </c>
      <c r="E48" s="2" t="inlineStr">
        <is>
          <t>Add-on Services</t>
        </is>
      </c>
      <c r="F48" s="3" t="n">
        <v>2047</v>
      </c>
      <c r="G48" s="2" t="inlineStr">
        <is>
          <t>N</t>
        </is>
      </c>
    </row>
    <row r="49">
      <c r="A49" s="2" t="inlineStr">
        <is>
          <t>D-0048</t>
        </is>
      </c>
      <c r="B49" s="2" t="inlineStr">
        <is>
          <t>Priya Raman</t>
        </is>
      </c>
      <c r="C49" s="2" t="inlineStr">
        <is>
          <t>West</t>
        </is>
      </c>
      <c r="D49" s="2" t="inlineStr">
        <is>
          <t>Q1</t>
        </is>
      </c>
      <c r="E49" s="2" t="inlineStr">
        <is>
          <t>Enterprise Suite</t>
        </is>
      </c>
      <c r="F49" s="3" t="n">
        <v>75926</v>
      </c>
      <c r="G49" s="2" t="inlineStr">
        <is>
          <t>N</t>
        </is>
      </c>
    </row>
    <row r="50">
      <c r="A50" s="2" t="inlineStr">
        <is>
          <t>D-0049</t>
        </is>
      </c>
      <c r="B50" s="2" t="inlineStr">
        <is>
          <t>Priya Raman</t>
        </is>
      </c>
      <c r="C50" s="2" t="inlineStr">
        <is>
          <t>West</t>
        </is>
      </c>
      <c r="D50" s="2" t="inlineStr">
        <is>
          <t>Q1</t>
        </is>
      </c>
      <c r="E50" s="2" t="inlineStr">
        <is>
          <t>Add-on Services</t>
        </is>
      </c>
      <c r="F50" s="3" t="n">
        <v>3443</v>
      </c>
      <c r="G50" s="2" t="inlineStr">
        <is>
          <t>Y</t>
        </is>
      </c>
    </row>
    <row r="51">
      <c r="A51" s="2" t="inlineStr">
        <is>
          <t>D-0050</t>
        </is>
      </c>
      <c r="B51" s="2" t="inlineStr">
        <is>
          <t>Priya Raman</t>
        </is>
      </c>
      <c r="C51" s="2" t="inlineStr">
        <is>
          <t>West</t>
        </is>
      </c>
      <c r="D51" s="2" t="inlineStr">
        <is>
          <t>Q1</t>
        </is>
      </c>
      <c r="E51" s="2" t="inlineStr">
        <is>
          <t>Enterprise Suite</t>
        </is>
      </c>
      <c r="F51" s="3" t="n">
        <v>63551</v>
      </c>
      <c r="G51" s="2" t="inlineStr">
        <is>
          <t>N</t>
        </is>
      </c>
    </row>
    <row r="52">
      <c r="A52" s="2" t="inlineStr">
        <is>
          <t>D-0051</t>
        </is>
      </c>
      <c r="B52" s="2" t="inlineStr">
        <is>
          <t>Priya Raman</t>
        </is>
      </c>
      <c r="C52" s="2" t="inlineStr">
        <is>
          <t>West</t>
        </is>
      </c>
      <c r="D52" s="2" t="inlineStr">
        <is>
          <t>Q1</t>
        </is>
      </c>
      <c r="E52" s="2" t="inlineStr">
        <is>
          <t>Core Platform</t>
        </is>
      </c>
      <c r="F52" s="3" t="n">
        <v>18237</v>
      </c>
      <c r="G52" s="2" t="inlineStr">
        <is>
          <t>N</t>
        </is>
      </c>
    </row>
    <row r="53">
      <c r="A53" s="2" t="inlineStr">
        <is>
          <t>D-0052</t>
        </is>
      </c>
      <c r="B53" s="2" t="inlineStr">
        <is>
          <t>Priya Raman</t>
        </is>
      </c>
      <c r="C53" s="2" t="inlineStr">
        <is>
          <t>West</t>
        </is>
      </c>
      <c r="D53" s="2" t="inlineStr">
        <is>
          <t>Q1</t>
        </is>
      </c>
      <c r="E53" s="2" t="inlineStr">
        <is>
          <t>Enterprise Suite</t>
        </is>
      </c>
      <c r="F53" s="3" t="n">
        <v>62155</v>
      </c>
      <c r="G53" s="2" t="inlineStr">
        <is>
          <t>N</t>
        </is>
      </c>
    </row>
    <row r="54">
      <c r="A54" s="2" t="inlineStr">
        <is>
          <t>D-0053</t>
        </is>
      </c>
      <c r="B54" s="2" t="inlineStr">
        <is>
          <t>Priya Raman</t>
        </is>
      </c>
      <c r="C54" s="2" t="inlineStr">
        <is>
          <t>West</t>
        </is>
      </c>
      <c r="D54" s="2" t="inlineStr">
        <is>
          <t>Q1</t>
        </is>
      </c>
      <c r="E54" s="2" t="inlineStr">
        <is>
          <t>Enterprise Suite</t>
        </is>
      </c>
      <c r="F54" s="3" t="n">
        <v>71087</v>
      </c>
      <c r="G54" s="2" t="inlineStr">
        <is>
          <t>N</t>
        </is>
      </c>
    </row>
    <row r="55">
      <c r="A55" s="2" t="inlineStr">
        <is>
          <t>D-0054</t>
        </is>
      </c>
      <c r="B55" s="2" t="inlineStr">
        <is>
          <t>Priya Raman</t>
        </is>
      </c>
      <c r="C55" s="2" t="inlineStr">
        <is>
          <t>West</t>
        </is>
      </c>
      <c r="D55" s="2" t="inlineStr">
        <is>
          <t>Q1</t>
        </is>
      </c>
      <c r="E55" s="2" t="inlineStr">
        <is>
          <t>Core Platform</t>
        </is>
      </c>
      <c r="F55" s="3" t="n">
        <v>14608</v>
      </c>
      <c r="G55" s="2" t="inlineStr">
        <is>
          <t>Y</t>
        </is>
      </c>
    </row>
    <row r="56">
      <c r="A56" s="2" t="inlineStr">
        <is>
          <t>D-0055</t>
        </is>
      </c>
      <c r="B56" s="2" t="inlineStr">
        <is>
          <t>Priya Raman</t>
        </is>
      </c>
      <c r="C56" s="2" t="inlineStr">
        <is>
          <t>West</t>
        </is>
      </c>
      <c r="D56" s="2" t="inlineStr">
        <is>
          <t>Q1</t>
        </is>
      </c>
      <c r="E56" s="2" t="inlineStr">
        <is>
          <t>Core Platform</t>
        </is>
      </c>
      <c r="F56" s="3" t="n">
        <v>14050</v>
      </c>
      <c r="G56" s="2" t="inlineStr">
        <is>
          <t>Y</t>
        </is>
      </c>
    </row>
    <row r="57">
      <c r="A57" s="2" t="inlineStr">
        <is>
          <t>D-0056</t>
        </is>
      </c>
      <c r="B57" s="2" t="inlineStr">
        <is>
          <t>Priya Raman</t>
        </is>
      </c>
      <c r="C57" s="2" t="inlineStr">
        <is>
          <t>West</t>
        </is>
      </c>
      <c r="D57" s="2" t="inlineStr">
        <is>
          <t>Q1</t>
        </is>
      </c>
      <c r="E57" s="2" t="inlineStr">
        <is>
          <t>Core Platform</t>
        </is>
      </c>
      <c r="F57" s="3" t="n">
        <v>14422</v>
      </c>
      <c r="G57" s="2" t="inlineStr">
        <is>
          <t>Y</t>
        </is>
      </c>
    </row>
    <row r="58">
      <c r="A58" s="2" t="inlineStr">
        <is>
          <t>D-0057</t>
        </is>
      </c>
      <c r="B58" s="2" t="inlineStr">
        <is>
          <t>Priya Raman</t>
        </is>
      </c>
      <c r="C58" s="2" t="inlineStr">
        <is>
          <t>West</t>
        </is>
      </c>
      <c r="D58" s="2" t="inlineStr">
        <is>
          <t>Q1</t>
        </is>
      </c>
      <c r="E58" s="2" t="inlineStr">
        <is>
          <t>Core Platform</t>
        </is>
      </c>
      <c r="F58" s="3" t="n">
        <v>6699</v>
      </c>
      <c r="G58" s="2" t="inlineStr">
        <is>
          <t>N</t>
        </is>
      </c>
    </row>
    <row r="59">
      <c r="A59" s="2" t="inlineStr">
        <is>
          <t>D-0058</t>
        </is>
      </c>
      <c r="B59" s="2" t="inlineStr">
        <is>
          <t>Priya Raman</t>
        </is>
      </c>
      <c r="C59" s="2" t="inlineStr">
        <is>
          <t>West</t>
        </is>
      </c>
      <c r="D59" s="2" t="inlineStr">
        <is>
          <t>Q1</t>
        </is>
      </c>
      <c r="E59" s="2" t="inlineStr">
        <is>
          <t>Core Platform</t>
        </is>
      </c>
      <c r="F59" s="3" t="n">
        <v>19726</v>
      </c>
      <c r="G59" s="2" t="inlineStr">
        <is>
          <t>N</t>
        </is>
      </c>
    </row>
    <row r="60">
      <c r="A60" s="2" t="inlineStr">
        <is>
          <t>D-0059</t>
        </is>
      </c>
      <c r="B60" s="2" t="inlineStr">
        <is>
          <t>Priya Raman</t>
        </is>
      </c>
      <c r="C60" s="2" t="inlineStr">
        <is>
          <t>West</t>
        </is>
      </c>
      <c r="D60" s="2" t="inlineStr">
        <is>
          <t>Q1</t>
        </is>
      </c>
      <c r="E60" s="2" t="inlineStr">
        <is>
          <t>Core Platform</t>
        </is>
      </c>
      <c r="F60" s="3" t="n">
        <v>32287</v>
      </c>
      <c r="G60" s="2" t="inlineStr">
        <is>
          <t>N</t>
        </is>
      </c>
    </row>
    <row r="61">
      <c r="A61" s="2" t="inlineStr">
        <is>
          <t>D-0060</t>
        </is>
      </c>
      <c r="B61" s="2" t="inlineStr">
        <is>
          <t>Priya Raman</t>
        </is>
      </c>
      <c r="C61" s="2" t="inlineStr">
        <is>
          <t>West</t>
        </is>
      </c>
      <c r="D61" s="2" t="inlineStr">
        <is>
          <t>Q2</t>
        </is>
      </c>
      <c r="E61" s="2" t="inlineStr">
        <is>
          <t>Enterprise Suite</t>
        </is>
      </c>
      <c r="F61" s="3" t="n">
        <v>74187</v>
      </c>
      <c r="G61" s="2" t="inlineStr">
        <is>
          <t>N</t>
        </is>
      </c>
    </row>
    <row r="62">
      <c r="A62" s="2" t="inlineStr">
        <is>
          <t>D-0061</t>
        </is>
      </c>
      <c r="B62" s="2" t="inlineStr">
        <is>
          <t>Priya Raman</t>
        </is>
      </c>
      <c r="C62" s="2" t="inlineStr">
        <is>
          <t>West</t>
        </is>
      </c>
      <c r="D62" s="2" t="inlineStr">
        <is>
          <t>Q2</t>
        </is>
      </c>
      <c r="E62" s="2" t="inlineStr">
        <is>
          <t>Add-on Services</t>
        </is>
      </c>
      <c r="F62" s="3" t="n">
        <v>11253</v>
      </c>
      <c r="G62" s="2" t="inlineStr">
        <is>
          <t>Y</t>
        </is>
      </c>
    </row>
    <row r="63">
      <c r="A63" s="2" t="inlineStr">
        <is>
          <t>D-0062</t>
        </is>
      </c>
      <c r="B63" s="2" t="inlineStr">
        <is>
          <t>Priya Raman</t>
        </is>
      </c>
      <c r="C63" s="2" t="inlineStr">
        <is>
          <t>West</t>
        </is>
      </c>
      <c r="D63" s="2" t="inlineStr">
        <is>
          <t>Q2</t>
        </is>
      </c>
      <c r="E63" s="2" t="inlineStr">
        <is>
          <t>Core Platform</t>
        </is>
      </c>
      <c r="F63" s="3" t="n">
        <v>50639</v>
      </c>
      <c r="G63" s="2" t="inlineStr">
        <is>
          <t>N</t>
        </is>
      </c>
    </row>
    <row r="64">
      <c r="A64" s="2" t="inlineStr">
        <is>
          <t>D-0063</t>
        </is>
      </c>
      <c r="B64" s="2" t="inlineStr">
        <is>
          <t>Priya Raman</t>
        </is>
      </c>
      <c r="C64" s="2" t="inlineStr">
        <is>
          <t>West</t>
        </is>
      </c>
      <c r="D64" s="2" t="inlineStr">
        <is>
          <t>Q2</t>
        </is>
      </c>
      <c r="E64" s="2" t="inlineStr">
        <is>
          <t>Core Platform</t>
        </is>
      </c>
      <c r="F64" s="3" t="n">
        <v>41470</v>
      </c>
      <c r="G64" s="2" t="inlineStr">
        <is>
          <t>N</t>
        </is>
      </c>
    </row>
    <row r="65">
      <c r="A65" s="2" t="inlineStr">
        <is>
          <t>D-0064</t>
        </is>
      </c>
      <c r="B65" s="2" t="inlineStr">
        <is>
          <t>Priya Raman</t>
        </is>
      </c>
      <c r="C65" s="2" t="inlineStr">
        <is>
          <t>West</t>
        </is>
      </c>
      <c r="D65" s="2" t="inlineStr">
        <is>
          <t>Q2</t>
        </is>
      </c>
      <c r="E65" s="2" t="inlineStr">
        <is>
          <t>Core Platform</t>
        </is>
      </c>
      <c r="F65" s="3" t="n">
        <v>32509</v>
      </c>
      <c r="G65" s="2" t="inlineStr">
        <is>
          <t>Y</t>
        </is>
      </c>
    </row>
    <row r="66">
      <c r="A66" s="2" t="inlineStr">
        <is>
          <t>D-0065</t>
        </is>
      </c>
      <c r="B66" s="2" t="inlineStr">
        <is>
          <t>Priya Raman</t>
        </is>
      </c>
      <c r="C66" s="2" t="inlineStr">
        <is>
          <t>West</t>
        </is>
      </c>
      <c r="D66" s="2" t="inlineStr">
        <is>
          <t>Q2</t>
        </is>
      </c>
      <c r="E66" s="2" t="inlineStr">
        <is>
          <t>Enterprise Suite</t>
        </is>
      </c>
      <c r="F66" s="3" t="n">
        <v>78355</v>
      </c>
      <c r="G66" s="2" t="inlineStr">
        <is>
          <t>N</t>
        </is>
      </c>
    </row>
    <row r="67">
      <c r="A67" s="2" t="inlineStr">
        <is>
          <t>D-0066</t>
        </is>
      </c>
      <c r="B67" s="2" t="inlineStr">
        <is>
          <t>Priya Raman</t>
        </is>
      </c>
      <c r="C67" s="2" t="inlineStr">
        <is>
          <t>West</t>
        </is>
      </c>
      <c r="D67" s="2" t="inlineStr">
        <is>
          <t>Q2</t>
        </is>
      </c>
      <c r="E67" s="2" t="inlineStr">
        <is>
          <t>Core Platform</t>
        </is>
      </c>
      <c r="F67" s="3" t="n">
        <v>17296</v>
      </c>
      <c r="G67" s="2" t="inlineStr">
        <is>
          <t>N</t>
        </is>
      </c>
    </row>
    <row r="68">
      <c r="A68" s="2" t="inlineStr">
        <is>
          <t>D-0067</t>
        </is>
      </c>
      <c r="B68" s="2" t="inlineStr">
        <is>
          <t>Priya Raman</t>
        </is>
      </c>
      <c r="C68" s="2" t="inlineStr">
        <is>
          <t>West</t>
        </is>
      </c>
      <c r="D68" s="2" t="inlineStr">
        <is>
          <t>Q2</t>
        </is>
      </c>
      <c r="E68" s="2" t="inlineStr">
        <is>
          <t>Core Platform</t>
        </is>
      </c>
      <c r="F68" s="3" t="n">
        <v>19797</v>
      </c>
      <c r="G68" s="2" t="inlineStr">
        <is>
          <t>N</t>
        </is>
      </c>
    </row>
    <row r="69">
      <c r="A69" s="2" t="inlineStr">
        <is>
          <t>D-0068</t>
        </is>
      </c>
      <c r="B69" s="2" t="inlineStr">
        <is>
          <t>Priya Raman</t>
        </is>
      </c>
      <c r="C69" s="2" t="inlineStr">
        <is>
          <t>West</t>
        </is>
      </c>
      <c r="D69" s="2" t="inlineStr">
        <is>
          <t>Q2</t>
        </is>
      </c>
      <c r="E69" s="2" t="inlineStr">
        <is>
          <t>Core Platform</t>
        </is>
      </c>
      <c r="F69" s="3" t="n">
        <v>35010</v>
      </c>
      <c r="G69" s="2" t="inlineStr">
        <is>
          <t>N</t>
        </is>
      </c>
    </row>
    <row r="70">
      <c r="A70" s="2" t="inlineStr">
        <is>
          <t>D-0069</t>
        </is>
      </c>
      <c r="B70" s="2" t="inlineStr">
        <is>
          <t>Priya Raman</t>
        </is>
      </c>
      <c r="C70" s="2" t="inlineStr">
        <is>
          <t>West</t>
        </is>
      </c>
      <c r="D70" s="2" t="inlineStr">
        <is>
          <t>Q2</t>
        </is>
      </c>
      <c r="E70" s="2" t="inlineStr">
        <is>
          <t>Add-on Services</t>
        </is>
      </c>
      <c r="F70" s="3" t="n">
        <v>18755</v>
      </c>
      <c r="G70" s="2" t="inlineStr">
        <is>
          <t>Y</t>
        </is>
      </c>
    </row>
    <row r="71">
      <c r="A71" s="2" t="inlineStr">
        <is>
          <t>D-0070</t>
        </is>
      </c>
      <c r="B71" s="2" t="inlineStr">
        <is>
          <t>Priya Raman</t>
        </is>
      </c>
      <c r="C71" s="2" t="inlineStr">
        <is>
          <t>West</t>
        </is>
      </c>
      <c r="D71" s="2" t="inlineStr">
        <is>
          <t>Q3</t>
        </is>
      </c>
      <c r="E71" s="2" t="inlineStr">
        <is>
          <t>Core Platform</t>
        </is>
      </c>
      <c r="F71" s="3" t="n">
        <v>14937</v>
      </c>
      <c r="G71" s="2" t="inlineStr">
        <is>
          <t>N</t>
        </is>
      </c>
    </row>
    <row r="72">
      <c r="A72" s="2" t="inlineStr">
        <is>
          <t>D-0071</t>
        </is>
      </c>
      <c r="B72" s="2" t="inlineStr">
        <is>
          <t>Priya Raman</t>
        </is>
      </c>
      <c r="C72" s="2" t="inlineStr">
        <is>
          <t>West</t>
        </is>
      </c>
      <c r="D72" s="2" t="inlineStr">
        <is>
          <t>Q3</t>
        </is>
      </c>
      <c r="E72" s="2" t="inlineStr">
        <is>
          <t>Core Platform</t>
        </is>
      </c>
      <c r="F72" s="3" t="n">
        <v>48377</v>
      </c>
      <c r="G72" s="2" t="inlineStr">
        <is>
          <t>N</t>
        </is>
      </c>
    </row>
    <row r="73">
      <c r="A73" s="2" t="inlineStr">
        <is>
          <t>D-0072</t>
        </is>
      </c>
      <c r="B73" s="2" t="inlineStr">
        <is>
          <t>Priya Raman</t>
        </is>
      </c>
      <c r="C73" s="2" t="inlineStr">
        <is>
          <t>West</t>
        </is>
      </c>
      <c r="D73" s="2" t="inlineStr">
        <is>
          <t>Q3</t>
        </is>
      </c>
      <c r="E73" s="2" t="inlineStr">
        <is>
          <t>Core Platform</t>
        </is>
      </c>
      <c r="F73" s="3" t="n">
        <v>21402</v>
      </c>
      <c r="G73" s="2" t="inlineStr">
        <is>
          <t>Y</t>
        </is>
      </c>
    </row>
    <row r="74">
      <c r="A74" s="2" t="inlineStr">
        <is>
          <t>D-0073</t>
        </is>
      </c>
      <c r="B74" s="2" t="inlineStr">
        <is>
          <t>Priya Raman</t>
        </is>
      </c>
      <c r="C74" s="2" t="inlineStr">
        <is>
          <t>West</t>
        </is>
      </c>
      <c r="D74" s="2" t="inlineStr">
        <is>
          <t>Q3</t>
        </is>
      </c>
      <c r="E74" s="2" t="inlineStr">
        <is>
          <t>Core Platform</t>
        </is>
      </c>
      <c r="F74" s="3" t="n">
        <v>32772</v>
      </c>
      <c r="G74" s="2" t="inlineStr">
        <is>
          <t>N</t>
        </is>
      </c>
    </row>
    <row r="75">
      <c r="A75" s="2" t="inlineStr">
        <is>
          <t>D-0074</t>
        </is>
      </c>
      <c r="B75" s="2" t="inlineStr">
        <is>
          <t>Priya Raman</t>
        </is>
      </c>
      <c r="C75" s="2" t="inlineStr">
        <is>
          <t>West</t>
        </is>
      </c>
      <c r="D75" s="2" t="inlineStr">
        <is>
          <t>Q3</t>
        </is>
      </c>
      <c r="E75" s="2" t="inlineStr">
        <is>
          <t>Core Platform</t>
        </is>
      </c>
      <c r="F75" s="3" t="n">
        <v>29428</v>
      </c>
      <c r="G75" s="2" t="inlineStr">
        <is>
          <t>N</t>
        </is>
      </c>
    </row>
    <row r="76">
      <c r="A76" s="2" t="inlineStr">
        <is>
          <t>D-0075</t>
        </is>
      </c>
      <c r="B76" s="2" t="inlineStr">
        <is>
          <t>Priya Raman</t>
        </is>
      </c>
      <c r="C76" s="2" t="inlineStr">
        <is>
          <t>West</t>
        </is>
      </c>
      <c r="D76" s="2" t="inlineStr">
        <is>
          <t>Q3</t>
        </is>
      </c>
      <c r="E76" s="2" t="inlineStr">
        <is>
          <t>Add-on Services</t>
        </is>
      </c>
      <c r="F76" s="3" t="n">
        <v>15160</v>
      </c>
      <c r="G76" s="2" t="inlineStr">
        <is>
          <t>N</t>
        </is>
      </c>
    </row>
    <row r="77">
      <c r="A77" s="2" t="inlineStr">
        <is>
          <t>D-0076</t>
        </is>
      </c>
      <c r="B77" s="2" t="inlineStr">
        <is>
          <t>Priya Raman</t>
        </is>
      </c>
      <c r="C77" s="2" t="inlineStr">
        <is>
          <t>West</t>
        </is>
      </c>
      <c r="D77" s="2" t="inlineStr">
        <is>
          <t>Q3</t>
        </is>
      </c>
      <c r="E77" s="2" t="inlineStr">
        <is>
          <t>Add-on Services</t>
        </is>
      </c>
      <c r="F77" s="3" t="n">
        <v>17166</v>
      </c>
      <c r="G77" s="2" t="inlineStr">
        <is>
          <t>N</t>
        </is>
      </c>
    </row>
    <row r="78">
      <c r="A78" s="2" t="inlineStr">
        <is>
          <t>D-0077</t>
        </is>
      </c>
      <c r="B78" s="2" t="inlineStr">
        <is>
          <t>Priya Raman</t>
        </is>
      </c>
      <c r="C78" s="2" t="inlineStr">
        <is>
          <t>West</t>
        </is>
      </c>
      <c r="D78" s="2" t="inlineStr">
        <is>
          <t>Q3</t>
        </is>
      </c>
      <c r="E78" s="2" t="inlineStr">
        <is>
          <t>Core Platform</t>
        </is>
      </c>
      <c r="F78" s="3" t="n">
        <v>33664</v>
      </c>
      <c r="G78" s="2" t="inlineStr">
        <is>
          <t>N</t>
        </is>
      </c>
    </row>
    <row r="79">
      <c r="A79" s="2" t="inlineStr">
        <is>
          <t>D-0078</t>
        </is>
      </c>
      <c r="B79" s="2" t="inlineStr">
        <is>
          <t>Priya Raman</t>
        </is>
      </c>
      <c r="C79" s="2" t="inlineStr">
        <is>
          <t>West</t>
        </is>
      </c>
      <c r="D79" s="2" t="inlineStr">
        <is>
          <t>Q3</t>
        </is>
      </c>
      <c r="E79" s="2" t="inlineStr">
        <is>
          <t>Core Platform</t>
        </is>
      </c>
      <c r="F79" s="3" t="n">
        <v>86277</v>
      </c>
      <c r="G79" s="2" t="inlineStr">
        <is>
          <t>N</t>
        </is>
      </c>
    </row>
    <row r="80">
      <c r="A80" s="2" t="inlineStr">
        <is>
          <t>D-0079</t>
        </is>
      </c>
      <c r="B80" s="2" t="inlineStr">
        <is>
          <t>Priya Raman</t>
        </is>
      </c>
      <c r="C80" s="2" t="inlineStr">
        <is>
          <t>West</t>
        </is>
      </c>
      <c r="D80" s="2" t="inlineStr">
        <is>
          <t>Q3</t>
        </is>
      </c>
      <c r="E80" s="2" t="inlineStr">
        <is>
          <t>Core Platform</t>
        </is>
      </c>
      <c r="F80" s="3" t="n">
        <v>19841</v>
      </c>
      <c r="G80" s="2" t="inlineStr">
        <is>
          <t>Y</t>
        </is>
      </c>
    </row>
    <row r="81">
      <c r="A81" s="2" t="inlineStr">
        <is>
          <t>D-0080</t>
        </is>
      </c>
      <c r="B81" s="2" t="inlineStr">
        <is>
          <t>Priya Raman</t>
        </is>
      </c>
      <c r="C81" s="2" t="inlineStr">
        <is>
          <t>West</t>
        </is>
      </c>
      <c r="D81" s="2" t="inlineStr">
        <is>
          <t>Q3</t>
        </is>
      </c>
      <c r="E81" s="2" t="inlineStr">
        <is>
          <t>Core Platform</t>
        </is>
      </c>
      <c r="F81" s="3" t="n">
        <v>21402</v>
      </c>
      <c r="G81" s="2" t="inlineStr">
        <is>
          <t>N</t>
        </is>
      </c>
    </row>
    <row r="82">
      <c r="A82" s="2" t="inlineStr">
        <is>
          <t>D-0081</t>
        </is>
      </c>
      <c r="B82" s="2" t="inlineStr">
        <is>
          <t>Priya Raman</t>
        </is>
      </c>
      <c r="C82" s="2" t="inlineStr">
        <is>
          <t>West</t>
        </is>
      </c>
      <c r="D82" s="2" t="inlineStr">
        <is>
          <t>Q3</t>
        </is>
      </c>
      <c r="E82" s="2" t="inlineStr">
        <is>
          <t>Core Platform</t>
        </is>
      </c>
      <c r="F82" s="3" t="n">
        <v>71786</v>
      </c>
      <c r="G82" s="2" t="inlineStr">
        <is>
          <t>N</t>
        </is>
      </c>
    </row>
    <row r="83">
      <c r="A83" s="2" t="inlineStr">
        <is>
          <t>D-0082</t>
        </is>
      </c>
      <c r="B83" s="2" t="inlineStr">
        <is>
          <t>Priya Raman</t>
        </is>
      </c>
      <c r="C83" s="2" t="inlineStr">
        <is>
          <t>West</t>
        </is>
      </c>
      <c r="D83" s="2" t="inlineStr">
        <is>
          <t>Q4</t>
        </is>
      </c>
      <c r="E83" s="2" t="inlineStr">
        <is>
          <t>Core Platform</t>
        </is>
      </c>
      <c r="F83" s="3" t="n">
        <v>24169</v>
      </c>
      <c r="G83" s="2" t="inlineStr">
        <is>
          <t>N</t>
        </is>
      </c>
    </row>
    <row r="84">
      <c r="A84" s="2" t="inlineStr">
        <is>
          <t>D-0083</t>
        </is>
      </c>
      <c r="B84" s="2" t="inlineStr">
        <is>
          <t>Priya Raman</t>
        </is>
      </c>
      <c r="C84" s="2" t="inlineStr">
        <is>
          <t>West</t>
        </is>
      </c>
      <c r="D84" s="2" t="inlineStr">
        <is>
          <t>Q4</t>
        </is>
      </c>
      <c r="E84" s="2" t="inlineStr">
        <is>
          <t>Core Platform</t>
        </is>
      </c>
      <c r="F84" s="3" t="n">
        <v>77533</v>
      </c>
      <c r="G84" s="2" t="inlineStr">
        <is>
          <t>N</t>
        </is>
      </c>
    </row>
    <row r="85">
      <c r="A85" s="2" t="inlineStr">
        <is>
          <t>D-0084</t>
        </is>
      </c>
      <c r="B85" s="2" t="inlineStr">
        <is>
          <t>Priya Raman</t>
        </is>
      </c>
      <c r="C85" s="2" t="inlineStr">
        <is>
          <t>West</t>
        </is>
      </c>
      <c r="D85" s="2" t="inlineStr">
        <is>
          <t>Q4</t>
        </is>
      </c>
      <c r="E85" s="2" t="inlineStr">
        <is>
          <t>Enterprise Suite</t>
        </is>
      </c>
      <c r="F85" s="3" t="n">
        <v>76953</v>
      </c>
      <c r="G85" s="2" t="inlineStr">
        <is>
          <t>N</t>
        </is>
      </c>
    </row>
    <row r="86">
      <c r="A86" s="2" t="inlineStr">
        <is>
          <t>D-0085</t>
        </is>
      </c>
      <c r="B86" s="2" t="inlineStr">
        <is>
          <t>Priya Raman</t>
        </is>
      </c>
      <c r="C86" s="2" t="inlineStr">
        <is>
          <t>West</t>
        </is>
      </c>
      <c r="D86" s="2" t="inlineStr">
        <is>
          <t>Q4</t>
        </is>
      </c>
      <c r="E86" s="2" t="inlineStr">
        <is>
          <t>Core Platform</t>
        </is>
      </c>
      <c r="F86" s="3" t="n">
        <v>14694</v>
      </c>
      <c r="G86" s="2" t="inlineStr">
        <is>
          <t>N</t>
        </is>
      </c>
    </row>
    <row r="87">
      <c r="A87" s="2" t="inlineStr">
        <is>
          <t>D-0086</t>
        </is>
      </c>
      <c r="B87" s="2" t="inlineStr">
        <is>
          <t>Priya Raman</t>
        </is>
      </c>
      <c r="C87" s="2" t="inlineStr">
        <is>
          <t>West</t>
        </is>
      </c>
      <c r="D87" s="2" t="inlineStr">
        <is>
          <t>Q4</t>
        </is>
      </c>
      <c r="E87" s="2" t="inlineStr">
        <is>
          <t>Add-on Services</t>
        </is>
      </c>
      <c r="F87" s="3" t="n">
        <v>5800</v>
      </c>
      <c r="G87" s="2" t="inlineStr">
        <is>
          <t>N</t>
        </is>
      </c>
    </row>
    <row r="88">
      <c r="A88" s="2" t="inlineStr">
        <is>
          <t>D-0087</t>
        </is>
      </c>
      <c r="B88" s="2" t="inlineStr">
        <is>
          <t>Priya Raman</t>
        </is>
      </c>
      <c r="C88" s="2" t="inlineStr">
        <is>
          <t>West</t>
        </is>
      </c>
      <c r="D88" s="2" t="inlineStr">
        <is>
          <t>Q4</t>
        </is>
      </c>
      <c r="E88" s="2" t="inlineStr">
        <is>
          <t>Enterprise Suite</t>
        </is>
      </c>
      <c r="F88" s="3" t="n">
        <v>41183</v>
      </c>
      <c r="G88" s="2" t="inlineStr">
        <is>
          <t>N</t>
        </is>
      </c>
    </row>
    <row r="89">
      <c r="A89" s="2" t="inlineStr">
        <is>
          <t>D-0088</t>
        </is>
      </c>
      <c r="B89" s="2" t="inlineStr">
        <is>
          <t>Priya Raman</t>
        </is>
      </c>
      <c r="C89" s="2" t="inlineStr">
        <is>
          <t>West</t>
        </is>
      </c>
      <c r="D89" s="2" t="inlineStr">
        <is>
          <t>Q4</t>
        </is>
      </c>
      <c r="E89" s="2" t="inlineStr">
        <is>
          <t>Core Platform</t>
        </is>
      </c>
      <c r="F89" s="3" t="n">
        <v>11408</v>
      </c>
      <c r="G89" s="2" t="inlineStr">
        <is>
          <t>N</t>
        </is>
      </c>
    </row>
    <row r="90">
      <c r="A90" s="2" t="inlineStr">
        <is>
          <t>D-0089</t>
        </is>
      </c>
      <c r="B90" s="2" t="inlineStr">
        <is>
          <t>Priya Raman</t>
        </is>
      </c>
      <c r="C90" s="2" t="inlineStr">
        <is>
          <t>West</t>
        </is>
      </c>
      <c r="D90" s="2" t="inlineStr">
        <is>
          <t>Q4</t>
        </is>
      </c>
      <c r="E90" s="2" t="inlineStr">
        <is>
          <t>Core Platform</t>
        </is>
      </c>
      <c r="F90" s="3" t="n">
        <v>64965</v>
      </c>
      <c r="G90" s="2" t="inlineStr">
        <is>
          <t>N</t>
        </is>
      </c>
    </row>
    <row r="91">
      <c r="A91" s="2" t="inlineStr">
        <is>
          <t>D-0090</t>
        </is>
      </c>
      <c r="B91" s="2" t="inlineStr">
        <is>
          <t>Priya Raman</t>
        </is>
      </c>
      <c r="C91" s="2" t="inlineStr">
        <is>
          <t>West</t>
        </is>
      </c>
      <c r="D91" s="2" t="inlineStr">
        <is>
          <t>Q4</t>
        </is>
      </c>
      <c r="E91" s="2" t="inlineStr">
        <is>
          <t>Core Platform</t>
        </is>
      </c>
      <c r="F91" s="3" t="n">
        <v>21268</v>
      </c>
      <c r="G91" s="2" t="inlineStr">
        <is>
          <t>N</t>
        </is>
      </c>
    </row>
    <row r="92">
      <c r="A92" s="2" t="inlineStr">
        <is>
          <t>D-0091</t>
        </is>
      </c>
      <c r="B92" s="2" t="inlineStr">
        <is>
          <t>Priya Raman</t>
        </is>
      </c>
      <c r="C92" s="2" t="inlineStr">
        <is>
          <t>West</t>
        </is>
      </c>
      <c r="D92" s="2" t="inlineStr">
        <is>
          <t>Q4</t>
        </is>
      </c>
      <c r="E92" s="2" t="inlineStr">
        <is>
          <t>Add-on Services</t>
        </is>
      </c>
      <c r="F92" s="3" t="n">
        <v>11794</v>
      </c>
      <c r="G92" s="2" t="inlineStr">
        <is>
          <t>N</t>
        </is>
      </c>
    </row>
    <row r="93">
      <c r="A93" s="2" t="inlineStr">
        <is>
          <t>D-0092</t>
        </is>
      </c>
      <c r="B93" s="2" t="inlineStr">
        <is>
          <t>Priya Raman</t>
        </is>
      </c>
      <c r="C93" s="2" t="inlineStr">
        <is>
          <t>West</t>
        </is>
      </c>
      <c r="D93" s="2" t="inlineStr">
        <is>
          <t>Q4</t>
        </is>
      </c>
      <c r="E93" s="2" t="inlineStr">
        <is>
          <t>Core Platform</t>
        </is>
      </c>
      <c r="F93" s="3" t="n">
        <v>42537</v>
      </c>
      <c r="G93" s="2" t="inlineStr">
        <is>
          <t>N</t>
        </is>
      </c>
    </row>
    <row r="94">
      <c r="A94" s="2" t="inlineStr">
        <is>
          <t>D-0093</t>
        </is>
      </c>
      <c r="B94" s="2" t="inlineStr">
        <is>
          <t>Jordan Ellis</t>
        </is>
      </c>
      <c r="C94" s="2" t="inlineStr">
        <is>
          <t>West</t>
        </is>
      </c>
      <c r="D94" s="2" t="inlineStr">
        <is>
          <t>Q1</t>
        </is>
      </c>
      <c r="E94" s="2" t="inlineStr">
        <is>
          <t>Core Platform</t>
        </is>
      </c>
      <c r="F94" s="3" t="n">
        <v>6187</v>
      </c>
      <c r="G94" s="2" t="inlineStr">
        <is>
          <t>N</t>
        </is>
      </c>
    </row>
    <row r="95">
      <c r="A95" s="2" t="inlineStr">
        <is>
          <t>D-0094</t>
        </is>
      </c>
      <c r="B95" s="2" t="inlineStr">
        <is>
          <t>Jordan Ellis</t>
        </is>
      </c>
      <c r="C95" s="2" t="inlineStr">
        <is>
          <t>West</t>
        </is>
      </c>
      <c r="D95" s="2" t="inlineStr">
        <is>
          <t>Q1</t>
        </is>
      </c>
      <c r="E95" s="2" t="inlineStr">
        <is>
          <t>Enterprise Suite</t>
        </is>
      </c>
      <c r="F95" s="3" t="n">
        <v>64582</v>
      </c>
      <c r="G95" s="2" t="inlineStr">
        <is>
          <t>N</t>
        </is>
      </c>
    </row>
    <row r="96">
      <c r="A96" s="2" t="inlineStr">
        <is>
          <t>D-0095</t>
        </is>
      </c>
      <c r="B96" s="2" t="inlineStr">
        <is>
          <t>Jordan Ellis</t>
        </is>
      </c>
      <c r="C96" s="2" t="inlineStr">
        <is>
          <t>West</t>
        </is>
      </c>
      <c r="D96" s="2" t="inlineStr">
        <is>
          <t>Q1</t>
        </is>
      </c>
      <c r="E96" s="2" t="inlineStr">
        <is>
          <t>Enterprise Suite</t>
        </is>
      </c>
      <c r="F96" s="3" t="n">
        <v>30379</v>
      </c>
      <c r="G96" s="2" t="inlineStr">
        <is>
          <t>N</t>
        </is>
      </c>
    </row>
    <row r="97">
      <c r="A97" s="2" t="inlineStr">
        <is>
          <t>D-0096</t>
        </is>
      </c>
      <c r="B97" s="2" t="inlineStr">
        <is>
          <t>Jordan Ellis</t>
        </is>
      </c>
      <c r="C97" s="2" t="inlineStr">
        <is>
          <t>West</t>
        </is>
      </c>
      <c r="D97" s="2" t="inlineStr">
        <is>
          <t>Q1</t>
        </is>
      </c>
      <c r="E97" s="2" t="inlineStr">
        <is>
          <t>Core Platform</t>
        </is>
      </c>
      <c r="F97" s="3" t="n">
        <v>6048</v>
      </c>
      <c r="G97" s="2" t="inlineStr">
        <is>
          <t>N</t>
        </is>
      </c>
    </row>
    <row r="98">
      <c r="A98" s="2" t="inlineStr">
        <is>
          <t>D-0097</t>
        </is>
      </c>
      <c r="B98" s="2" t="inlineStr">
        <is>
          <t>Jordan Ellis</t>
        </is>
      </c>
      <c r="C98" s="2" t="inlineStr">
        <is>
          <t>West</t>
        </is>
      </c>
      <c r="D98" s="2" t="inlineStr">
        <is>
          <t>Q1</t>
        </is>
      </c>
      <c r="E98" s="2" t="inlineStr">
        <is>
          <t>Enterprise Suite</t>
        </is>
      </c>
      <c r="F98" s="3" t="n">
        <v>24540</v>
      </c>
      <c r="G98" s="2" t="inlineStr">
        <is>
          <t>N</t>
        </is>
      </c>
    </row>
    <row r="99">
      <c r="A99" s="2" t="inlineStr">
        <is>
          <t>D-0098</t>
        </is>
      </c>
      <c r="B99" s="2" t="inlineStr">
        <is>
          <t>Jordan Ellis</t>
        </is>
      </c>
      <c r="C99" s="2" t="inlineStr">
        <is>
          <t>West</t>
        </is>
      </c>
      <c r="D99" s="2" t="inlineStr">
        <is>
          <t>Q1</t>
        </is>
      </c>
      <c r="E99" s="2" t="inlineStr">
        <is>
          <t>Enterprise Suite</t>
        </is>
      </c>
      <c r="F99" s="3" t="n">
        <v>47064</v>
      </c>
      <c r="G99" s="2" t="inlineStr">
        <is>
          <t>N</t>
        </is>
      </c>
    </row>
    <row r="100">
      <c r="A100" s="2" t="inlineStr">
        <is>
          <t>D-0099</t>
        </is>
      </c>
      <c r="B100" s="2" t="inlineStr">
        <is>
          <t>Jordan Ellis</t>
        </is>
      </c>
      <c r="C100" s="2" t="inlineStr">
        <is>
          <t>West</t>
        </is>
      </c>
      <c r="D100" s="2" t="inlineStr">
        <is>
          <t>Q1</t>
        </is>
      </c>
      <c r="E100" s="2" t="inlineStr">
        <is>
          <t>Core Platform</t>
        </is>
      </c>
      <c r="F100" s="3" t="n">
        <v>8968</v>
      </c>
      <c r="G100" s="2" t="inlineStr">
        <is>
          <t>Y</t>
        </is>
      </c>
    </row>
    <row r="101">
      <c r="A101" s="2" t="inlineStr">
        <is>
          <t>D-0100</t>
        </is>
      </c>
      <c r="B101" s="2" t="inlineStr">
        <is>
          <t>Jordan Ellis</t>
        </is>
      </c>
      <c r="C101" s="2" t="inlineStr">
        <is>
          <t>West</t>
        </is>
      </c>
      <c r="D101" s="2" t="inlineStr">
        <is>
          <t>Q1</t>
        </is>
      </c>
      <c r="E101" s="2" t="inlineStr">
        <is>
          <t>Core Platform</t>
        </is>
      </c>
      <c r="F101" s="3" t="n">
        <v>3754</v>
      </c>
      <c r="G101" s="2" t="inlineStr">
        <is>
          <t>Y</t>
        </is>
      </c>
    </row>
    <row r="102">
      <c r="A102" s="2" t="inlineStr">
        <is>
          <t>D-0101</t>
        </is>
      </c>
      <c r="B102" s="2" t="inlineStr">
        <is>
          <t>Jordan Ellis</t>
        </is>
      </c>
      <c r="C102" s="2" t="inlineStr">
        <is>
          <t>West</t>
        </is>
      </c>
      <c r="D102" s="2" t="inlineStr">
        <is>
          <t>Q1</t>
        </is>
      </c>
      <c r="E102" s="2" t="inlineStr">
        <is>
          <t>Enterprise Suite</t>
        </is>
      </c>
      <c r="F102" s="3" t="n">
        <v>138550</v>
      </c>
      <c r="G102" s="2" t="inlineStr">
        <is>
          <t>N</t>
        </is>
      </c>
    </row>
    <row r="103">
      <c r="A103" s="2" t="inlineStr">
        <is>
          <t>D-0102</t>
        </is>
      </c>
      <c r="B103" s="2" t="inlineStr">
        <is>
          <t>Jordan Ellis</t>
        </is>
      </c>
      <c r="C103" s="2" t="inlineStr">
        <is>
          <t>West</t>
        </is>
      </c>
      <c r="D103" s="2" t="inlineStr">
        <is>
          <t>Q1</t>
        </is>
      </c>
      <c r="E103" s="2" t="inlineStr">
        <is>
          <t>Add-on Services</t>
        </is>
      </c>
      <c r="F103" s="3" t="n">
        <v>2364</v>
      </c>
      <c r="G103" s="2" t="inlineStr">
        <is>
          <t>Y</t>
        </is>
      </c>
    </row>
    <row r="104">
      <c r="A104" s="2" t="inlineStr">
        <is>
          <t>D-0103</t>
        </is>
      </c>
      <c r="B104" s="2" t="inlineStr">
        <is>
          <t>Jordan Ellis</t>
        </is>
      </c>
      <c r="C104" s="2" t="inlineStr">
        <is>
          <t>West</t>
        </is>
      </c>
      <c r="D104" s="2" t="inlineStr">
        <is>
          <t>Q2</t>
        </is>
      </c>
      <c r="E104" s="2" t="inlineStr">
        <is>
          <t>Core Platform</t>
        </is>
      </c>
      <c r="F104" s="3" t="n">
        <v>3477</v>
      </c>
      <c r="G104" s="2" t="inlineStr">
        <is>
          <t>N</t>
        </is>
      </c>
    </row>
    <row r="105">
      <c r="A105" s="2" t="inlineStr">
        <is>
          <t>D-0104</t>
        </is>
      </c>
      <c r="B105" s="2" t="inlineStr">
        <is>
          <t>Jordan Ellis</t>
        </is>
      </c>
      <c r="C105" s="2" t="inlineStr">
        <is>
          <t>West</t>
        </is>
      </c>
      <c r="D105" s="2" t="inlineStr">
        <is>
          <t>Q2</t>
        </is>
      </c>
      <c r="E105" s="2" t="inlineStr">
        <is>
          <t>Core Platform</t>
        </is>
      </c>
      <c r="F105" s="3" t="n">
        <v>7112</v>
      </c>
      <c r="G105" s="2" t="inlineStr">
        <is>
          <t>N</t>
        </is>
      </c>
    </row>
    <row r="106">
      <c r="A106" s="2" t="inlineStr">
        <is>
          <t>D-0105</t>
        </is>
      </c>
      <c r="B106" s="2" t="inlineStr">
        <is>
          <t>Jordan Ellis</t>
        </is>
      </c>
      <c r="C106" s="2" t="inlineStr">
        <is>
          <t>West</t>
        </is>
      </c>
      <c r="D106" s="2" t="inlineStr">
        <is>
          <t>Q2</t>
        </is>
      </c>
      <c r="E106" s="2" t="inlineStr">
        <is>
          <t>Core Platform</t>
        </is>
      </c>
      <c r="F106" s="3" t="n">
        <v>6743</v>
      </c>
      <c r="G106" s="2" t="inlineStr">
        <is>
          <t>N</t>
        </is>
      </c>
    </row>
    <row r="107">
      <c r="A107" s="2" t="inlineStr">
        <is>
          <t>D-0106</t>
        </is>
      </c>
      <c r="B107" s="2" t="inlineStr">
        <is>
          <t>Jordan Ellis</t>
        </is>
      </c>
      <c r="C107" s="2" t="inlineStr">
        <is>
          <t>West</t>
        </is>
      </c>
      <c r="D107" s="2" t="inlineStr">
        <is>
          <t>Q2</t>
        </is>
      </c>
      <c r="E107" s="2" t="inlineStr">
        <is>
          <t>Enterprise Suite</t>
        </is>
      </c>
      <c r="F107" s="3" t="n">
        <v>15278</v>
      </c>
      <c r="G107" s="2" t="inlineStr">
        <is>
          <t>Y</t>
        </is>
      </c>
    </row>
    <row r="108">
      <c r="A108" s="2" t="inlineStr">
        <is>
          <t>D-0107</t>
        </is>
      </c>
      <c r="B108" s="2" t="inlineStr">
        <is>
          <t>Jordan Ellis</t>
        </is>
      </c>
      <c r="C108" s="2" t="inlineStr">
        <is>
          <t>West</t>
        </is>
      </c>
      <c r="D108" s="2" t="inlineStr">
        <is>
          <t>Q2</t>
        </is>
      </c>
      <c r="E108" s="2" t="inlineStr">
        <is>
          <t>Core Platform</t>
        </is>
      </c>
      <c r="F108" s="3" t="n">
        <v>5479</v>
      </c>
      <c r="G108" s="2" t="inlineStr">
        <is>
          <t>N</t>
        </is>
      </c>
    </row>
    <row r="109">
      <c r="A109" s="2" t="inlineStr">
        <is>
          <t>D-0108</t>
        </is>
      </c>
      <c r="B109" s="2" t="inlineStr">
        <is>
          <t>Jordan Ellis</t>
        </is>
      </c>
      <c r="C109" s="2" t="inlineStr">
        <is>
          <t>West</t>
        </is>
      </c>
      <c r="D109" s="2" t="inlineStr">
        <is>
          <t>Q2</t>
        </is>
      </c>
      <c r="E109" s="2" t="inlineStr">
        <is>
          <t>Core Platform</t>
        </is>
      </c>
      <c r="F109" s="3" t="n">
        <v>9377</v>
      </c>
      <c r="G109" s="2" t="inlineStr">
        <is>
          <t>N</t>
        </is>
      </c>
    </row>
    <row r="110">
      <c r="A110" s="2" t="inlineStr">
        <is>
          <t>D-0109</t>
        </is>
      </c>
      <c r="B110" s="2" t="inlineStr">
        <is>
          <t>Jordan Ellis</t>
        </is>
      </c>
      <c r="C110" s="2" t="inlineStr">
        <is>
          <t>West</t>
        </is>
      </c>
      <c r="D110" s="2" t="inlineStr">
        <is>
          <t>Q2</t>
        </is>
      </c>
      <c r="E110" s="2" t="inlineStr">
        <is>
          <t>Add-on Services</t>
        </is>
      </c>
      <c r="F110" s="3" t="n">
        <v>4794</v>
      </c>
      <c r="G110" s="2" t="inlineStr">
        <is>
          <t>N</t>
        </is>
      </c>
    </row>
    <row r="111">
      <c r="A111" s="2" t="inlineStr">
        <is>
          <t>D-0110</t>
        </is>
      </c>
      <c r="B111" s="2" t="inlineStr">
        <is>
          <t>Jordan Ellis</t>
        </is>
      </c>
      <c r="C111" s="2" t="inlineStr">
        <is>
          <t>West</t>
        </is>
      </c>
      <c r="D111" s="2" t="inlineStr">
        <is>
          <t>Q2</t>
        </is>
      </c>
      <c r="E111" s="2" t="inlineStr">
        <is>
          <t>Core Platform</t>
        </is>
      </c>
      <c r="F111" s="3" t="n">
        <v>12064</v>
      </c>
      <c r="G111" s="2" t="inlineStr">
        <is>
          <t>N</t>
        </is>
      </c>
    </row>
    <row r="112">
      <c r="A112" s="2" t="inlineStr">
        <is>
          <t>D-0111</t>
        </is>
      </c>
      <c r="B112" s="2" t="inlineStr">
        <is>
          <t>Jordan Ellis</t>
        </is>
      </c>
      <c r="C112" s="2" t="inlineStr">
        <is>
          <t>West</t>
        </is>
      </c>
      <c r="D112" s="2" t="inlineStr">
        <is>
          <t>Q2</t>
        </is>
      </c>
      <c r="E112" s="2" t="inlineStr">
        <is>
          <t>Enterprise Suite</t>
        </is>
      </c>
      <c r="F112" s="3" t="n">
        <v>19914</v>
      </c>
      <c r="G112" s="2" t="inlineStr">
        <is>
          <t>N</t>
        </is>
      </c>
    </row>
    <row r="113">
      <c r="A113" s="2" t="inlineStr">
        <is>
          <t>D-0112</t>
        </is>
      </c>
      <c r="B113" s="2" t="inlineStr">
        <is>
          <t>Jordan Ellis</t>
        </is>
      </c>
      <c r="C113" s="2" t="inlineStr">
        <is>
          <t>West</t>
        </is>
      </c>
      <c r="D113" s="2" t="inlineStr">
        <is>
          <t>Q2</t>
        </is>
      </c>
      <c r="E113" s="2" t="inlineStr">
        <is>
          <t>Enterprise Suite</t>
        </is>
      </c>
      <c r="F113" s="3" t="n">
        <v>31293</v>
      </c>
      <c r="G113" s="2" t="inlineStr">
        <is>
          <t>N</t>
        </is>
      </c>
    </row>
    <row r="114">
      <c r="A114" s="2" t="inlineStr">
        <is>
          <t>D-0113</t>
        </is>
      </c>
      <c r="B114" s="2" t="inlineStr">
        <is>
          <t>Jordan Ellis</t>
        </is>
      </c>
      <c r="C114" s="2" t="inlineStr">
        <is>
          <t>West</t>
        </is>
      </c>
      <c r="D114" s="2" t="inlineStr">
        <is>
          <t>Q2</t>
        </is>
      </c>
      <c r="E114" s="2" t="inlineStr">
        <is>
          <t>Enterprise Suite</t>
        </is>
      </c>
      <c r="F114" s="3" t="n">
        <v>39196</v>
      </c>
      <c r="G114" s="2" t="inlineStr">
        <is>
          <t>N</t>
        </is>
      </c>
    </row>
    <row r="115">
      <c r="A115" s="2" t="inlineStr">
        <is>
          <t>D-0114</t>
        </is>
      </c>
      <c r="B115" s="2" t="inlineStr">
        <is>
          <t>Jordan Ellis</t>
        </is>
      </c>
      <c r="C115" s="2" t="inlineStr">
        <is>
          <t>West</t>
        </is>
      </c>
      <c r="D115" s="2" t="inlineStr">
        <is>
          <t>Q2</t>
        </is>
      </c>
      <c r="E115" s="2" t="inlineStr">
        <is>
          <t>Enterprise Suite</t>
        </is>
      </c>
      <c r="F115" s="3" t="n">
        <v>37721</v>
      </c>
      <c r="G115" s="2" t="inlineStr">
        <is>
          <t>N</t>
        </is>
      </c>
    </row>
    <row r="116">
      <c r="A116" s="2" t="inlineStr">
        <is>
          <t>D-0115</t>
        </is>
      </c>
      <c r="B116" s="2" t="inlineStr">
        <is>
          <t>Jordan Ellis</t>
        </is>
      </c>
      <c r="C116" s="2" t="inlineStr">
        <is>
          <t>West</t>
        </is>
      </c>
      <c r="D116" s="2" t="inlineStr">
        <is>
          <t>Q2</t>
        </is>
      </c>
      <c r="E116" s="2" t="inlineStr">
        <is>
          <t>Add-on Services</t>
        </is>
      </c>
      <c r="F116" s="3" t="n">
        <v>1633</v>
      </c>
      <c r="G116" s="2" t="inlineStr">
        <is>
          <t>N</t>
        </is>
      </c>
    </row>
    <row r="117">
      <c r="A117" s="2" t="inlineStr">
        <is>
          <t>D-0116</t>
        </is>
      </c>
      <c r="B117" s="2" t="inlineStr">
        <is>
          <t>Jordan Ellis</t>
        </is>
      </c>
      <c r="C117" s="2" t="inlineStr">
        <is>
          <t>West</t>
        </is>
      </c>
      <c r="D117" s="2" t="inlineStr">
        <is>
          <t>Q2</t>
        </is>
      </c>
      <c r="E117" s="2" t="inlineStr">
        <is>
          <t>Enterprise Suite</t>
        </is>
      </c>
      <c r="F117" s="3" t="n">
        <v>59320</v>
      </c>
      <c r="G117" s="2" t="inlineStr">
        <is>
          <t>Y</t>
        </is>
      </c>
    </row>
    <row r="118">
      <c r="A118" s="2" t="inlineStr">
        <is>
          <t>D-0117</t>
        </is>
      </c>
      <c r="B118" s="2" t="inlineStr">
        <is>
          <t>Jordan Ellis</t>
        </is>
      </c>
      <c r="C118" s="2" t="inlineStr">
        <is>
          <t>West</t>
        </is>
      </c>
      <c r="D118" s="2" t="inlineStr">
        <is>
          <t>Q2</t>
        </is>
      </c>
      <c r="E118" s="2" t="inlineStr">
        <is>
          <t>Add-on Services</t>
        </is>
      </c>
      <c r="F118" s="3" t="n">
        <v>3635</v>
      </c>
      <c r="G118" s="2" t="inlineStr">
        <is>
          <t>N</t>
        </is>
      </c>
    </row>
    <row r="119">
      <c r="A119" s="2" t="inlineStr">
        <is>
          <t>D-0118</t>
        </is>
      </c>
      <c r="B119" s="2" t="inlineStr">
        <is>
          <t>Jordan Ellis</t>
        </is>
      </c>
      <c r="C119" s="2" t="inlineStr">
        <is>
          <t>West</t>
        </is>
      </c>
      <c r="D119" s="2" t="inlineStr">
        <is>
          <t>Q3</t>
        </is>
      </c>
      <c r="E119" s="2" t="inlineStr">
        <is>
          <t>Add-on Services</t>
        </is>
      </c>
      <c r="F119" s="3" t="n">
        <v>9611</v>
      </c>
      <c r="G119" s="2" t="inlineStr">
        <is>
          <t>N</t>
        </is>
      </c>
    </row>
    <row r="120">
      <c r="A120" s="2" t="inlineStr">
        <is>
          <t>D-0119</t>
        </is>
      </c>
      <c r="B120" s="2" t="inlineStr">
        <is>
          <t>Jordan Ellis</t>
        </is>
      </c>
      <c r="C120" s="2" t="inlineStr">
        <is>
          <t>West</t>
        </is>
      </c>
      <c r="D120" s="2" t="inlineStr">
        <is>
          <t>Q3</t>
        </is>
      </c>
      <c r="E120" s="2" t="inlineStr">
        <is>
          <t>Add-on Services</t>
        </is>
      </c>
      <c r="F120" s="3" t="n">
        <v>3804</v>
      </c>
      <c r="G120" s="2" t="inlineStr">
        <is>
          <t>N</t>
        </is>
      </c>
    </row>
    <row r="121">
      <c r="A121" s="2" t="inlineStr">
        <is>
          <t>D-0120</t>
        </is>
      </c>
      <c r="B121" s="2" t="inlineStr">
        <is>
          <t>Jordan Ellis</t>
        </is>
      </c>
      <c r="C121" s="2" t="inlineStr">
        <is>
          <t>West</t>
        </is>
      </c>
      <c r="D121" s="2" t="inlineStr">
        <is>
          <t>Q3</t>
        </is>
      </c>
      <c r="E121" s="2" t="inlineStr">
        <is>
          <t>Enterprise Suite</t>
        </is>
      </c>
      <c r="F121" s="3" t="n">
        <v>107118</v>
      </c>
      <c r="G121" s="2" t="inlineStr">
        <is>
          <t>Y</t>
        </is>
      </c>
    </row>
    <row r="122">
      <c r="A122" s="2" t="inlineStr">
        <is>
          <t>D-0121</t>
        </is>
      </c>
      <c r="B122" s="2" t="inlineStr">
        <is>
          <t>Jordan Ellis</t>
        </is>
      </c>
      <c r="C122" s="2" t="inlineStr">
        <is>
          <t>West</t>
        </is>
      </c>
      <c r="D122" s="2" t="inlineStr">
        <is>
          <t>Q3</t>
        </is>
      </c>
      <c r="E122" s="2" t="inlineStr">
        <is>
          <t>Add-on Services</t>
        </is>
      </c>
      <c r="F122" s="3" t="n">
        <v>2803</v>
      </c>
      <c r="G122" s="2" t="inlineStr">
        <is>
          <t>N</t>
        </is>
      </c>
    </row>
    <row r="123">
      <c r="A123" s="2" t="inlineStr">
        <is>
          <t>D-0122</t>
        </is>
      </c>
      <c r="B123" s="2" t="inlineStr">
        <is>
          <t>Jordan Ellis</t>
        </is>
      </c>
      <c r="C123" s="2" t="inlineStr">
        <is>
          <t>West</t>
        </is>
      </c>
      <c r="D123" s="2" t="inlineStr">
        <is>
          <t>Q3</t>
        </is>
      </c>
      <c r="E123" s="2" t="inlineStr">
        <is>
          <t>Add-on Services</t>
        </is>
      </c>
      <c r="F123" s="3" t="n">
        <v>7608</v>
      </c>
      <c r="G123" s="2" t="inlineStr">
        <is>
          <t>Y</t>
        </is>
      </c>
    </row>
    <row r="124">
      <c r="A124" s="2" t="inlineStr">
        <is>
          <t>D-0123</t>
        </is>
      </c>
      <c r="B124" s="2" t="inlineStr">
        <is>
          <t>Jordan Ellis</t>
        </is>
      </c>
      <c r="C124" s="2" t="inlineStr">
        <is>
          <t>West</t>
        </is>
      </c>
      <c r="D124" s="2" t="inlineStr">
        <is>
          <t>Q3</t>
        </is>
      </c>
      <c r="E124" s="2" t="inlineStr">
        <is>
          <t>Enterprise Suite</t>
        </is>
      </c>
      <c r="F124" s="3" t="n">
        <v>97908</v>
      </c>
      <c r="G124" s="2" t="inlineStr">
        <is>
          <t>N</t>
        </is>
      </c>
    </row>
    <row r="125">
      <c r="A125" s="2" t="inlineStr">
        <is>
          <t>D-0124</t>
        </is>
      </c>
      <c r="B125" s="2" t="inlineStr">
        <is>
          <t>Jordan Ellis</t>
        </is>
      </c>
      <c r="C125" s="2" t="inlineStr">
        <is>
          <t>West</t>
        </is>
      </c>
      <c r="D125" s="2" t="inlineStr">
        <is>
          <t>Q3</t>
        </is>
      </c>
      <c r="E125" s="2" t="inlineStr">
        <is>
          <t>Add-on Services</t>
        </is>
      </c>
      <c r="F125" s="3" t="n">
        <v>8209</v>
      </c>
      <c r="G125" s="2" t="inlineStr">
        <is>
          <t>N</t>
        </is>
      </c>
    </row>
    <row r="126">
      <c r="A126" s="2" t="inlineStr">
        <is>
          <t>D-0125</t>
        </is>
      </c>
      <c r="B126" s="2" t="inlineStr">
        <is>
          <t>Jordan Ellis</t>
        </is>
      </c>
      <c r="C126" s="2" t="inlineStr">
        <is>
          <t>West</t>
        </is>
      </c>
      <c r="D126" s="2" t="inlineStr">
        <is>
          <t>Q3</t>
        </is>
      </c>
      <c r="E126" s="2" t="inlineStr">
        <is>
          <t>Add-on Services</t>
        </is>
      </c>
      <c r="F126" s="3" t="n">
        <v>3404</v>
      </c>
      <c r="G126" s="2" t="inlineStr">
        <is>
          <t>N</t>
        </is>
      </c>
    </row>
    <row r="127">
      <c r="A127" s="2" t="inlineStr">
        <is>
          <t>D-0126</t>
        </is>
      </c>
      <c r="B127" s="2" t="inlineStr">
        <is>
          <t>Jordan Ellis</t>
        </is>
      </c>
      <c r="C127" s="2" t="inlineStr">
        <is>
          <t>West</t>
        </is>
      </c>
      <c r="D127" s="2" t="inlineStr">
        <is>
          <t>Q4</t>
        </is>
      </c>
      <c r="E127" s="2" t="inlineStr">
        <is>
          <t>Core Platform</t>
        </is>
      </c>
      <c r="F127" s="3" t="n">
        <v>21034</v>
      </c>
      <c r="G127" s="2" t="inlineStr">
        <is>
          <t>Y</t>
        </is>
      </c>
    </row>
    <row r="128">
      <c r="A128" s="2" t="inlineStr">
        <is>
          <t>D-0127</t>
        </is>
      </c>
      <c r="B128" s="2" t="inlineStr">
        <is>
          <t>Jordan Ellis</t>
        </is>
      </c>
      <c r="C128" s="2" t="inlineStr">
        <is>
          <t>West</t>
        </is>
      </c>
      <c r="D128" s="2" t="inlineStr">
        <is>
          <t>Q4</t>
        </is>
      </c>
      <c r="E128" s="2" t="inlineStr">
        <is>
          <t>Core Platform</t>
        </is>
      </c>
      <c r="F128" s="3" t="n">
        <v>20131</v>
      </c>
      <c r="G128" s="2" t="inlineStr">
        <is>
          <t>Y</t>
        </is>
      </c>
    </row>
    <row r="129">
      <c r="A129" s="2" t="inlineStr">
        <is>
          <t>D-0128</t>
        </is>
      </c>
      <c r="B129" s="2" t="inlineStr">
        <is>
          <t>Jordan Ellis</t>
        </is>
      </c>
      <c r="C129" s="2" t="inlineStr">
        <is>
          <t>West</t>
        </is>
      </c>
      <c r="D129" s="2" t="inlineStr">
        <is>
          <t>Q4</t>
        </is>
      </c>
      <c r="E129" s="2" t="inlineStr">
        <is>
          <t>Enterprise Suite</t>
        </is>
      </c>
      <c r="F129" s="3" t="n">
        <v>67232</v>
      </c>
      <c r="G129" s="2" t="inlineStr">
        <is>
          <t>Y</t>
        </is>
      </c>
    </row>
    <row r="130">
      <c r="A130" s="2" t="inlineStr">
        <is>
          <t>D-0129</t>
        </is>
      </c>
      <c r="B130" s="2" t="inlineStr">
        <is>
          <t>Jordan Ellis</t>
        </is>
      </c>
      <c r="C130" s="2" t="inlineStr">
        <is>
          <t>West</t>
        </is>
      </c>
      <c r="D130" s="2" t="inlineStr">
        <is>
          <t>Q4</t>
        </is>
      </c>
      <c r="E130" s="2" t="inlineStr">
        <is>
          <t>Core Platform</t>
        </is>
      </c>
      <c r="F130" s="3" t="n">
        <v>21937</v>
      </c>
      <c r="G130" s="2" t="inlineStr">
        <is>
          <t>Y</t>
        </is>
      </c>
    </row>
    <row r="131">
      <c r="A131" s="2" t="inlineStr">
        <is>
          <t>D-0130</t>
        </is>
      </c>
      <c r="B131" s="2" t="inlineStr">
        <is>
          <t>Jordan Ellis</t>
        </is>
      </c>
      <c r="C131" s="2" t="inlineStr">
        <is>
          <t>West</t>
        </is>
      </c>
      <c r="D131" s="2" t="inlineStr">
        <is>
          <t>Q4</t>
        </is>
      </c>
      <c r="E131" s="2" t="inlineStr">
        <is>
          <t>Add-on Services</t>
        </is>
      </c>
      <c r="F131" s="3" t="n">
        <v>5807</v>
      </c>
      <c r="G131" s="2" t="inlineStr">
        <is>
          <t>Y</t>
        </is>
      </c>
    </row>
    <row r="132">
      <c r="A132" s="2" t="inlineStr">
        <is>
          <t>D-0131</t>
        </is>
      </c>
      <c r="B132" s="2" t="inlineStr">
        <is>
          <t>Jordan Ellis</t>
        </is>
      </c>
      <c r="C132" s="2" t="inlineStr">
        <is>
          <t>West</t>
        </is>
      </c>
      <c r="D132" s="2" t="inlineStr">
        <is>
          <t>Q4</t>
        </is>
      </c>
      <c r="E132" s="2" t="inlineStr">
        <is>
          <t>Core Platform</t>
        </is>
      </c>
      <c r="F132" s="3" t="n">
        <v>11098</v>
      </c>
      <c r="G132" s="2" t="inlineStr">
        <is>
          <t>N</t>
        </is>
      </c>
    </row>
    <row r="133">
      <c r="A133" s="2" t="inlineStr">
        <is>
          <t>D-0132</t>
        </is>
      </c>
      <c r="B133" s="2" t="inlineStr">
        <is>
          <t>Jordan Ellis</t>
        </is>
      </c>
      <c r="C133" s="2" t="inlineStr">
        <is>
          <t>West</t>
        </is>
      </c>
      <c r="D133" s="2" t="inlineStr">
        <is>
          <t>Q4</t>
        </is>
      </c>
      <c r="E133" s="2" t="inlineStr">
        <is>
          <t>Enterprise Suite</t>
        </is>
      </c>
      <c r="F133" s="3" t="n">
        <v>96138</v>
      </c>
      <c r="G133" s="2" t="inlineStr">
        <is>
          <t>N</t>
        </is>
      </c>
    </row>
    <row r="134">
      <c r="A134" s="2" t="inlineStr">
        <is>
          <t>D-0133</t>
        </is>
      </c>
      <c r="B134" s="2" t="inlineStr">
        <is>
          <t>Jordan Ellis</t>
        </is>
      </c>
      <c r="C134" s="2" t="inlineStr">
        <is>
          <t>West</t>
        </is>
      </c>
      <c r="D134" s="2" t="inlineStr">
        <is>
          <t>Q4</t>
        </is>
      </c>
      <c r="E134" s="2" t="inlineStr">
        <is>
          <t>Core Platform</t>
        </is>
      </c>
      <c r="F134" s="3" t="n">
        <v>14711</v>
      </c>
      <c r="G134" s="2" t="inlineStr">
        <is>
          <t>N</t>
        </is>
      </c>
    </row>
    <row r="135">
      <c r="A135" s="2" t="inlineStr">
        <is>
          <t>D-0134</t>
        </is>
      </c>
      <c r="B135" s="2" t="inlineStr">
        <is>
          <t>Jordan Ellis</t>
        </is>
      </c>
      <c r="C135" s="2" t="inlineStr">
        <is>
          <t>West</t>
        </is>
      </c>
      <c r="D135" s="2" t="inlineStr">
        <is>
          <t>Q4</t>
        </is>
      </c>
      <c r="E135" s="2" t="inlineStr">
        <is>
          <t>Add-on Services</t>
        </is>
      </c>
      <c r="F135" s="3" t="n">
        <v>8001</v>
      </c>
      <c r="G135" s="2" t="inlineStr">
        <is>
          <t>N</t>
        </is>
      </c>
    </row>
    <row r="136">
      <c r="A136" s="2" t="inlineStr">
        <is>
          <t>D-0135</t>
        </is>
      </c>
      <c r="B136" s="2" t="inlineStr">
        <is>
          <t>Sofia Delgado</t>
        </is>
      </c>
      <c r="C136" s="2" t="inlineStr">
        <is>
          <t>Central</t>
        </is>
      </c>
      <c r="D136" s="2" t="inlineStr">
        <is>
          <t>Q1</t>
        </is>
      </c>
      <c r="E136" s="2" t="inlineStr">
        <is>
          <t>Add-on Services</t>
        </is>
      </c>
      <c r="F136" s="3" t="n">
        <v>9001</v>
      </c>
      <c r="G136" s="2" t="inlineStr">
        <is>
          <t>Y</t>
        </is>
      </c>
    </row>
    <row r="137">
      <c r="A137" s="2" t="inlineStr">
        <is>
          <t>D-0136</t>
        </is>
      </c>
      <c r="B137" s="2" t="inlineStr">
        <is>
          <t>Sofia Delgado</t>
        </is>
      </c>
      <c r="C137" s="2" t="inlineStr">
        <is>
          <t>Central</t>
        </is>
      </c>
      <c r="D137" s="2" t="inlineStr">
        <is>
          <t>Q1</t>
        </is>
      </c>
      <c r="E137" s="2" t="inlineStr">
        <is>
          <t>Enterprise Suite</t>
        </is>
      </c>
      <c r="F137" s="3" t="n">
        <v>83903</v>
      </c>
      <c r="G137" s="2" t="inlineStr">
        <is>
          <t>Y</t>
        </is>
      </c>
    </row>
    <row r="138">
      <c r="A138" s="2" t="inlineStr">
        <is>
          <t>D-0137</t>
        </is>
      </c>
      <c r="B138" s="2" t="inlineStr">
        <is>
          <t>Sofia Delgado</t>
        </is>
      </c>
      <c r="C138" s="2" t="inlineStr">
        <is>
          <t>Central</t>
        </is>
      </c>
      <c r="D138" s="2" t="inlineStr">
        <is>
          <t>Q1</t>
        </is>
      </c>
      <c r="E138" s="2" t="inlineStr">
        <is>
          <t>Core Platform</t>
        </is>
      </c>
      <c r="F138" s="3" t="n">
        <v>17199</v>
      </c>
      <c r="G138" s="2" t="inlineStr">
        <is>
          <t>N</t>
        </is>
      </c>
    </row>
    <row r="139">
      <c r="A139" s="2" t="inlineStr">
        <is>
          <t>D-0138</t>
        </is>
      </c>
      <c r="B139" s="2" t="inlineStr">
        <is>
          <t>Sofia Delgado</t>
        </is>
      </c>
      <c r="C139" s="2" t="inlineStr">
        <is>
          <t>Central</t>
        </is>
      </c>
      <c r="D139" s="2" t="inlineStr">
        <is>
          <t>Q1</t>
        </is>
      </c>
      <c r="E139" s="2" t="inlineStr">
        <is>
          <t>Core Platform</t>
        </is>
      </c>
      <c r="F139" s="3" t="n">
        <v>6590</v>
      </c>
      <c r="G139" s="2" t="inlineStr">
        <is>
          <t>N</t>
        </is>
      </c>
    </row>
    <row r="140">
      <c r="A140" s="2" t="inlineStr">
        <is>
          <t>D-0139</t>
        </is>
      </c>
      <c r="B140" s="2" t="inlineStr">
        <is>
          <t>Sofia Delgado</t>
        </is>
      </c>
      <c r="C140" s="2" t="inlineStr">
        <is>
          <t>Central</t>
        </is>
      </c>
      <c r="D140" s="2" t="inlineStr">
        <is>
          <t>Q1</t>
        </is>
      </c>
      <c r="E140" s="2" t="inlineStr">
        <is>
          <t>Core Platform</t>
        </is>
      </c>
      <c r="F140" s="3" t="n">
        <v>9001</v>
      </c>
      <c r="G140" s="2" t="inlineStr">
        <is>
          <t>N</t>
        </is>
      </c>
    </row>
    <row r="141">
      <c r="A141" s="2" t="inlineStr">
        <is>
          <t>D-0140</t>
        </is>
      </c>
      <c r="B141" s="2" t="inlineStr">
        <is>
          <t>Sofia Delgado</t>
        </is>
      </c>
      <c r="C141" s="2" t="inlineStr">
        <is>
          <t>Central</t>
        </is>
      </c>
      <c r="D141" s="2" t="inlineStr">
        <is>
          <t>Q1</t>
        </is>
      </c>
      <c r="E141" s="2" t="inlineStr">
        <is>
          <t>Core Platform</t>
        </is>
      </c>
      <c r="F141" s="3" t="n">
        <v>36326</v>
      </c>
      <c r="G141" s="2" t="inlineStr">
        <is>
          <t>Y</t>
        </is>
      </c>
    </row>
    <row r="142">
      <c r="A142" s="2" t="inlineStr">
        <is>
          <t>D-0141</t>
        </is>
      </c>
      <c r="B142" s="2" t="inlineStr">
        <is>
          <t>Sofia Delgado</t>
        </is>
      </c>
      <c r="C142" s="2" t="inlineStr">
        <is>
          <t>Central</t>
        </is>
      </c>
      <c r="D142" s="2" t="inlineStr">
        <is>
          <t>Q1</t>
        </is>
      </c>
      <c r="E142" s="2" t="inlineStr">
        <is>
          <t>Add-on Services</t>
        </is>
      </c>
      <c r="F142" s="3" t="n">
        <v>5626</v>
      </c>
      <c r="G142" s="2" t="inlineStr">
        <is>
          <t>N</t>
        </is>
      </c>
    </row>
    <row r="143">
      <c r="A143" s="2" t="inlineStr">
        <is>
          <t>D-0142</t>
        </is>
      </c>
      <c r="B143" s="2" t="inlineStr">
        <is>
          <t>Sofia Delgado</t>
        </is>
      </c>
      <c r="C143" s="2" t="inlineStr">
        <is>
          <t>Central</t>
        </is>
      </c>
      <c r="D143" s="2" t="inlineStr">
        <is>
          <t>Q1</t>
        </is>
      </c>
      <c r="E143" s="2" t="inlineStr">
        <is>
          <t>Core Platform</t>
        </is>
      </c>
      <c r="F143" s="3" t="n">
        <v>13180</v>
      </c>
      <c r="G143" s="2" t="inlineStr">
        <is>
          <t>N</t>
        </is>
      </c>
    </row>
    <row r="144">
      <c r="A144" s="2" t="inlineStr">
        <is>
          <t>D-0143</t>
        </is>
      </c>
      <c r="B144" s="2" t="inlineStr">
        <is>
          <t>Sofia Delgado</t>
        </is>
      </c>
      <c r="C144" s="2" t="inlineStr">
        <is>
          <t>Central</t>
        </is>
      </c>
      <c r="D144" s="2" t="inlineStr">
        <is>
          <t>Q1</t>
        </is>
      </c>
      <c r="E144" s="2" t="inlineStr">
        <is>
          <t>Add-on Services</t>
        </is>
      </c>
      <c r="F144" s="3" t="n">
        <v>5947</v>
      </c>
      <c r="G144" s="2" t="inlineStr">
        <is>
          <t>N</t>
        </is>
      </c>
    </row>
    <row r="145">
      <c r="A145" s="2" t="inlineStr">
        <is>
          <t>D-0144</t>
        </is>
      </c>
      <c r="B145" s="2" t="inlineStr">
        <is>
          <t>Sofia Delgado</t>
        </is>
      </c>
      <c r="C145" s="2" t="inlineStr">
        <is>
          <t>Central</t>
        </is>
      </c>
      <c r="D145" s="2" t="inlineStr">
        <is>
          <t>Q1</t>
        </is>
      </c>
      <c r="E145" s="2" t="inlineStr">
        <is>
          <t>Enterprise Suite</t>
        </is>
      </c>
      <c r="F145" s="3" t="n">
        <v>62365</v>
      </c>
      <c r="G145" s="2" t="inlineStr">
        <is>
          <t>N</t>
        </is>
      </c>
    </row>
    <row r="146">
      <c r="A146" s="2" t="inlineStr">
        <is>
          <t>D-0145</t>
        </is>
      </c>
      <c r="B146" s="2" t="inlineStr">
        <is>
          <t>Sofia Delgado</t>
        </is>
      </c>
      <c r="C146" s="2" t="inlineStr">
        <is>
          <t>Central</t>
        </is>
      </c>
      <c r="D146" s="2" t="inlineStr">
        <is>
          <t>Q1</t>
        </is>
      </c>
      <c r="E146" s="2" t="inlineStr">
        <is>
          <t>Enterprise Suite</t>
        </is>
      </c>
      <c r="F146" s="3" t="n">
        <v>59793</v>
      </c>
      <c r="G146" s="2" t="inlineStr">
        <is>
          <t>N</t>
        </is>
      </c>
    </row>
    <row r="147">
      <c r="A147" s="2" t="inlineStr">
        <is>
          <t>D-0146</t>
        </is>
      </c>
      <c r="B147" s="2" t="inlineStr">
        <is>
          <t>Sofia Delgado</t>
        </is>
      </c>
      <c r="C147" s="2" t="inlineStr">
        <is>
          <t>Central</t>
        </is>
      </c>
      <c r="D147" s="2" t="inlineStr">
        <is>
          <t>Q2</t>
        </is>
      </c>
      <c r="E147" s="2" t="inlineStr">
        <is>
          <t>Enterprise Suite</t>
        </is>
      </c>
      <c r="F147" s="3" t="n">
        <v>72906</v>
      </c>
      <c r="G147" s="2" t="inlineStr">
        <is>
          <t>N</t>
        </is>
      </c>
    </row>
    <row r="148">
      <c r="A148" s="2" t="inlineStr">
        <is>
          <t>D-0147</t>
        </is>
      </c>
      <c r="B148" s="2" t="inlineStr">
        <is>
          <t>Sofia Delgado</t>
        </is>
      </c>
      <c r="C148" s="2" t="inlineStr">
        <is>
          <t>Central</t>
        </is>
      </c>
      <c r="D148" s="2" t="inlineStr">
        <is>
          <t>Q2</t>
        </is>
      </c>
      <c r="E148" s="2" t="inlineStr">
        <is>
          <t>Enterprise Suite</t>
        </is>
      </c>
      <c r="F148" s="3" t="n">
        <v>163696</v>
      </c>
      <c r="G148" s="2" t="inlineStr">
        <is>
          <t>N</t>
        </is>
      </c>
    </row>
    <row r="149">
      <c r="A149" s="2" t="inlineStr">
        <is>
          <t>D-0148</t>
        </is>
      </c>
      <c r="B149" s="2" t="inlineStr">
        <is>
          <t>Sofia Delgado</t>
        </is>
      </c>
      <c r="C149" s="2" t="inlineStr">
        <is>
          <t>Central</t>
        </is>
      </c>
      <c r="D149" s="2" t="inlineStr">
        <is>
          <t>Q2</t>
        </is>
      </c>
      <c r="E149" s="2" t="inlineStr">
        <is>
          <t>Add-on Services</t>
        </is>
      </c>
      <c r="F149" s="3" t="n">
        <v>1886</v>
      </c>
      <c r="G149" s="2" t="inlineStr">
        <is>
          <t>Y</t>
        </is>
      </c>
    </row>
    <row r="150">
      <c r="A150" s="2" t="inlineStr">
        <is>
          <t>D-0149</t>
        </is>
      </c>
      <c r="B150" s="2" t="inlineStr">
        <is>
          <t>Sofia Delgado</t>
        </is>
      </c>
      <c r="C150" s="2" t="inlineStr">
        <is>
          <t>Central</t>
        </is>
      </c>
      <c r="D150" s="2" t="inlineStr">
        <is>
          <t>Q2</t>
        </is>
      </c>
      <c r="E150" s="2" t="inlineStr">
        <is>
          <t>Enterprise Suite</t>
        </is>
      </c>
      <c r="F150" s="3" t="n">
        <v>28486</v>
      </c>
      <c r="G150" s="2" t="inlineStr">
        <is>
          <t>N</t>
        </is>
      </c>
    </row>
    <row r="151">
      <c r="A151" s="2" t="inlineStr">
        <is>
          <t>D-0150</t>
        </is>
      </c>
      <c r="B151" s="2" t="inlineStr">
        <is>
          <t>Sofia Delgado</t>
        </is>
      </c>
      <c r="C151" s="2" t="inlineStr">
        <is>
          <t>Central</t>
        </is>
      </c>
      <c r="D151" s="2" t="inlineStr">
        <is>
          <t>Q2</t>
        </is>
      </c>
      <c r="E151" s="2" t="inlineStr">
        <is>
          <t>Enterprise Suite</t>
        </is>
      </c>
      <c r="F151" s="3" t="n">
        <v>35770</v>
      </c>
      <c r="G151" s="2" t="inlineStr">
        <is>
          <t>N</t>
        </is>
      </c>
    </row>
    <row r="152">
      <c r="A152" s="2" t="inlineStr">
        <is>
          <t>D-0151</t>
        </is>
      </c>
      <c r="B152" s="2" t="inlineStr">
        <is>
          <t>Sofia Delgado</t>
        </is>
      </c>
      <c r="C152" s="2" t="inlineStr">
        <is>
          <t>Central</t>
        </is>
      </c>
      <c r="D152" s="2" t="inlineStr">
        <is>
          <t>Q2</t>
        </is>
      </c>
      <c r="E152" s="2" t="inlineStr">
        <is>
          <t>Core Platform</t>
        </is>
      </c>
      <c r="F152" s="3" t="n">
        <v>3642</v>
      </c>
      <c r="G152" s="2" t="inlineStr">
        <is>
          <t>N</t>
        </is>
      </c>
    </row>
    <row r="153">
      <c r="A153" s="2" t="inlineStr">
        <is>
          <t>D-0152</t>
        </is>
      </c>
      <c r="B153" s="2" t="inlineStr">
        <is>
          <t>Sofia Delgado</t>
        </is>
      </c>
      <c r="C153" s="2" t="inlineStr">
        <is>
          <t>Central</t>
        </is>
      </c>
      <c r="D153" s="2" t="inlineStr">
        <is>
          <t>Q2</t>
        </is>
      </c>
      <c r="E153" s="2" t="inlineStr">
        <is>
          <t>Core Platform</t>
        </is>
      </c>
      <c r="F153" s="3" t="n">
        <v>6048</v>
      </c>
      <c r="G153" s="2" t="inlineStr">
        <is>
          <t>Y</t>
        </is>
      </c>
    </row>
    <row r="154">
      <c r="A154" s="2" t="inlineStr">
        <is>
          <t>D-0153</t>
        </is>
      </c>
      <c r="B154" s="2" t="inlineStr">
        <is>
          <t>Sofia Delgado</t>
        </is>
      </c>
      <c r="C154" s="2" t="inlineStr">
        <is>
          <t>Central</t>
        </is>
      </c>
      <c r="D154" s="2" t="inlineStr">
        <is>
          <t>Q2</t>
        </is>
      </c>
      <c r="E154" s="2" t="inlineStr">
        <is>
          <t>Add-on Services</t>
        </is>
      </c>
      <c r="F154" s="3" t="n">
        <v>8260</v>
      </c>
      <c r="G154" s="2" t="inlineStr">
        <is>
          <t>N</t>
        </is>
      </c>
    </row>
    <row r="155">
      <c r="A155" s="2" t="inlineStr">
        <is>
          <t>D-0154</t>
        </is>
      </c>
      <c r="B155" s="2" t="inlineStr">
        <is>
          <t>Sofia Delgado</t>
        </is>
      </c>
      <c r="C155" s="2" t="inlineStr">
        <is>
          <t>Central</t>
        </is>
      </c>
      <c r="D155" s="2" t="inlineStr">
        <is>
          <t>Q2</t>
        </is>
      </c>
      <c r="E155" s="2" t="inlineStr">
        <is>
          <t>Add-on Services</t>
        </is>
      </c>
      <c r="F155" s="3" t="n">
        <v>6178</v>
      </c>
      <c r="G155" s="2" t="inlineStr">
        <is>
          <t>N</t>
        </is>
      </c>
    </row>
    <row r="156">
      <c r="A156" s="2" t="inlineStr">
        <is>
          <t>D-0155</t>
        </is>
      </c>
      <c r="B156" s="2" t="inlineStr">
        <is>
          <t>Sofia Delgado</t>
        </is>
      </c>
      <c r="C156" s="2" t="inlineStr">
        <is>
          <t>Central</t>
        </is>
      </c>
      <c r="D156" s="2" t="inlineStr">
        <is>
          <t>Q3</t>
        </is>
      </c>
      <c r="E156" s="2" t="inlineStr">
        <is>
          <t>Core Platform</t>
        </is>
      </c>
      <c r="F156" s="3" t="n">
        <v>48414</v>
      </c>
      <c r="G156" s="2" t="inlineStr">
        <is>
          <t>N</t>
        </is>
      </c>
    </row>
    <row r="157">
      <c r="A157" s="2" t="inlineStr">
        <is>
          <t>D-0156</t>
        </is>
      </c>
      <c r="B157" s="2" t="inlineStr">
        <is>
          <t>Sofia Delgado</t>
        </is>
      </c>
      <c r="C157" s="2" t="inlineStr">
        <is>
          <t>Central</t>
        </is>
      </c>
      <c r="D157" s="2" t="inlineStr">
        <is>
          <t>Q3</t>
        </is>
      </c>
      <c r="E157" s="2" t="inlineStr">
        <is>
          <t>Add-on Services</t>
        </is>
      </c>
      <c r="F157" s="3" t="n">
        <v>36233</v>
      </c>
      <c r="G157" s="2" t="inlineStr">
        <is>
          <t>N</t>
        </is>
      </c>
    </row>
    <row r="158">
      <c r="A158" s="2" t="inlineStr">
        <is>
          <t>D-0157</t>
        </is>
      </c>
      <c r="B158" s="2" t="inlineStr">
        <is>
          <t>Sofia Delgado</t>
        </is>
      </c>
      <c r="C158" s="2" t="inlineStr">
        <is>
          <t>Central</t>
        </is>
      </c>
      <c r="D158" s="2" t="inlineStr">
        <is>
          <t>Q3</t>
        </is>
      </c>
      <c r="E158" s="2" t="inlineStr">
        <is>
          <t>Core Platform</t>
        </is>
      </c>
      <c r="F158" s="3" t="n">
        <v>29048</v>
      </c>
      <c r="G158" s="2" t="inlineStr">
        <is>
          <t>Y</t>
        </is>
      </c>
    </row>
    <row r="159">
      <c r="A159" s="2" t="inlineStr">
        <is>
          <t>D-0158</t>
        </is>
      </c>
      <c r="B159" s="2" t="inlineStr">
        <is>
          <t>Sofia Delgado</t>
        </is>
      </c>
      <c r="C159" s="2" t="inlineStr">
        <is>
          <t>Central</t>
        </is>
      </c>
      <c r="D159" s="2" t="inlineStr">
        <is>
          <t>Q3</t>
        </is>
      </c>
      <c r="E159" s="2" t="inlineStr">
        <is>
          <t>Add-on Services</t>
        </is>
      </c>
      <c r="F159" s="3" t="n">
        <v>15617</v>
      </c>
      <c r="G159" s="2" t="inlineStr">
        <is>
          <t>N</t>
        </is>
      </c>
    </row>
    <row r="160">
      <c r="A160" s="2" t="inlineStr">
        <is>
          <t>D-0159</t>
        </is>
      </c>
      <c r="B160" s="2" t="inlineStr">
        <is>
          <t>Sofia Delgado</t>
        </is>
      </c>
      <c r="C160" s="2" t="inlineStr">
        <is>
          <t>Central</t>
        </is>
      </c>
      <c r="D160" s="2" t="inlineStr">
        <is>
          <t>Q3</t>
        </is>
      </c>
      <c r="E160" s="2" t="inlineStr">
        <is>
          <t>Add-on Services</t>
        </is>
      </c>
      <c r="F160" s="3" t="n">
        <v>25925</v>
      </c>
      <c r="G160" s="2" t="inlineStr">
        <is>
          <t>N</t>
        </is>
      </c>
    </row>
    <row r="161">
      <c r="A161" s="2" t="inlineStr">
        <is>
          <t>D-0160</t>
        </is>
      </c>
      <c r="B161" s="2" t="inlineStr">
        <is>
          <t>Sofia Delgado</t>
        </is>
      </c>
      <c r="C161" s="2" t="inlineStr">
        <is>
          <t>Central</t>
        </is>
      </c>
      <c r="D161" s="2" t="inlineStr">
        <is>
          <t>Q3</t>
        </is>
      </c>
      <c r="E161" s="2" t="inlineStr">
        <is>
          <t>Core Platform</t>
        </is>
      </c>
      <c r="F161" s="3" t="n">
        <v>23739</v>
      </c>
      <c r="G161" s="2" t="inlineStr">
        <is>
          <t>Y</t>
        </is>
      </c>
    </row>
    <row r="162">
      <c r="A162" s="2" t="inlineStr">
        <is>
          <t>D-0161</t>
        </is>
      </c>
      <c r="B162" s="2" t="inlineStr">
        <is>
          <t>Sofia Delgado</t>
        </is>
      </c>
      <c r="C162" s="2" t="inlineStr">
        <is>
          <t>Central</t>
        </is>
      </c>
      <c r="D162" s="2" t="inlineStr">
        <is>
          <t>Q3</t>
        </is>
      </c>
      <c r="E162" s="2" t="inlineStr">
        <is>
          <t>Add-on Services</t>
        </is>
      </c>
      <c r="F162" s="3" t="n">
        <v>30610</v>
      </c>
      <c r="G162" s="2" t="inlineStr">
        <is>
          <t>Y</t>
        </is>
      </c>
    </row>
    <row r="163">
      <c r="A163" s="2" t="inlineStr">
        <is>
          <t>D-0162</t>
        </is>
      </c>
      <c r="B163" s="2" t="inlineStr">
        <is>
          <t>Sofia Delgado</t>
        </is>
      </c>
      <c r="C163" s="2" t="inlineStr">
        <is>
          <t>Central</t>
        </is>
      </c>
      <c r="D163" s="2" t="inlineStr">
        <is>
          <t>Q3</t>
        </is>
      </c>
      <c r="E163" s="2" t="inlineStr">
        <is>
          <t>Core Platform</t>
        </is>
      </c>
      <c r="F163" s="3" t="n">
        <v>71216</v>
      </c>
      <c r="G163" s="2" t="inlineStr">
        <is>
          <t>N</t>
        </is>
      </c>
    </row>
    <row r="164">
      <c r="A164" s="2" t="inlineStr">
        <is>
          <t>D-0163</t>
        </is>
      </c>
      <c r="B164" s="2" t="inlineStr">
        <is>
          <t>Sofia Delgado</t>
        </is>
      </c>
      <c r="C164" s="2" t="inlineStr">
        <is>
          <t>Central</t>
        </is>
      </c>
      <c r="D164" s="2" t="inlineStr">
        <is>
          <t>Q4</t>
        </is>
      </c>
      <c r="E164" s="2" t="inlineStr">
        <is>
          <t>Add-on Services</t>
        </is>
      </c>
      <c r="F164" s="3" t="n">
        <v>18764</v>
      </c>
      <c r="G164" s="2" t="inlineStr">
        <is>
          <t>N</t>
        </is>
      </c>
    </row>
    <row r="165">
      <c r="A165" s="2" t="inlineStr">
        <is>
          <t>D-0164</t>
        </is>
      </c>
      <c r="B165" s="2" t="inlineStr">
        <is>
          <t>Sofia Delgado</t>
        </is>
      </c>
      <c r="C165" s="2" t="inlineStr">
        <is>
          <t>Central</t>
        </is>
      </c>
      <c r="D165" s="2" t="inlineStr">
        <is>
          <t>Q4</t>
        </is>
      </c>
      <c r="E165" s="2" t="inlineStr">
        <is>
          <t>Core Platform</t>
        </is>
      </c>
      <c r="F165" s="3" t="n">
        <v>33897</v>
      </c>
      <c r="G165" s="2" t="inlineStr">
        <is>
          <t>Y</t>
        </is>
      </c>
    </row>
    <row r="166">
      <c r="A166" s="2" t="inlineStr">
        <is>
          <t>D-0165</t>
        </is>
      </c>
      <c r="B166" s="2" t="inlineStr">
        <is>
          <t>Sofia Delgado</t>
        </is>
      </c>
      <c r="C166" s="2" t="inlineStr">
        <is>
          <t>Central</t>
        </is>
      </c>
      <c r="D166" s="2" t="inlineStr">
        <is>
          <t>Q4</t>
        </is>
      </c>
      <c r="E166" s="2" t="inlineStr">
        <is>
          <t>Add-on Services</t>
        </is>
      </c>
      <c r="F166" s="3" t="n">
        <v>9231</v>
      </c>
      <c r="G166" s="2" t="inlineStr">
        <is>
          <t>N</t>
        </is>
      </c>
    </row>
    <row r="167">
      <c r="A167" s="2" t="inlineStr">
        <is>
          <t>D-0166</t>
        </is>
      </c>
      <c r="B167" s="2" t="inlineStr">
        <is>
          <t>Sofia Delgado</t>
        </is>
      </c>
      <c r="C167" s="2" t="inlineStr">
        <is>
          <t>Central</t>
        </is>
      </c>
      <c r="D167" s="2" t="inlineStr">
        <is>
          <t>Q4</t>
        </is>
      </c>
      <c r="E167" s="2" t="inlineStr">
        <is>
          <t>Add-on Services</t>
        </is>
      </c>
      <c r="F167" s="3" t="n">
        <v>9836</v>
      </c>
      <c r="G167" s="2" t="inlineStr">
        <is>
          <t>N</t>
        </is>
      </c>
    </row>
    <row r="168">
      <c r="A168" s="2" t="inlineStr">
        <is>
          <t>D-0167</t>
        </is>
      </c>
      <c r="B168" s="2" t="inlineStr">
        <is>
          <t>Sofia Delgado</t>
        </is>
      </c>
      <c r="C168" s="2" t="inlineStr">
        <is>
          <t>Central</t>
        </is>
      </c>
      <c r="D168" s="2" t="inlineStr">
        <is>
          <t>Q4</t>
        </is>
      </c>
      <c r="E168" s="2" t="inlineStr">
        <is>
          <t>Add-on Services</t>
        </is>
      </c>
      <c r="F168" s="3" t="n">
        <v>9685</v>
      </c>
      <c r="G168" s="2" t="inlineStr">
        <is>
          <t>N</t>
        </is>
      </c>
    </row>
    <row r="169">
      <c r="A169" s="2" t="inlineStr">
        <is>
          <t>D-0168</t>
        </is>
      </c>
      <c r="B169" s="2" t="inlineStr">
        <is>
          <t>Sofia Delgado</t>
        </is>
      </c>
      <c r="C169" s="2" t="inlineStr">
        <is>
          <t>Central</t>
        </is>
      </c>
      <c r="D169" s="2" t="inlineStr">
        <is>
          <t>Q4</t>
        </is>
      </c>
      <c r="E169" s="2" t="inlineStr">
        <is>
          <t>Add-on Services</t>
        </is>
      </c>
      <c r="F169" s="3" t="n">
        <v>3329</v>
      </c>
      <c r="G169" s="2" t="inlineStr">
        <is>
          <t>N</t>
        </is>
      </c>
    </row>
    <row r="170">
      <c r="A170" s="2" t="inlineStr">
        <is>
          <t>D-0169</t>
        </is>
      </c>
      <c r="B170" s="2" t="inlineStr">
        <is>
          <t>Sofia Delgado</t>
        </is>
      </c>
      <c r="C170" s="2" t="inlineStr">
        <is>
          <t>Central</t>
        </is>
      </c>
      <c r="D170" s="2" t="inlineStr">
        <is>
          <t>Q4</t>
        </is>
      </c>
      <c r="E170" s="2" t="inlineStr">
        <is>
          <t>Core Platform</t>
        </is>
      </c>
      <c r="F170" s="3" t="n">
        <v>41766</v>
      </c>
      <c r="G170" s="2" t="inlineStr">
        <is>
          <t>N</t>
        </is>
      </c>
    </row>
    <row r="171">
      <c r="A171" s="2" t="inlineStr">
        <is>
          <t>D-0170</t>
        </is>
      </c>
      <c r="B171" s="2" t="inlineStr">
        <is>
          <t>Sofia Delgado</t>
        </is>
      </c>
      <c r="C171" s="2" t="inlineStr">
        <is>
          <t>Central</t>
        </is>
      </c>
      <c r="D171" s="2" t="inlineStr">
        <is>
          <t>Q4</t>
        </is>
      </c>
      <c r="E171" s="2" t="inlineStr">
        <is>
          <t>Add-on Services</t>
        </is>
      </c>
      <c r="F171" s="3" t="n">
        <v>6810</v>
      </c>
      <c r="G171" s="2" t="inlineStr">
        <is>
          <t>N</t>
        </is>
      </c>
    </row>
    <row r="172">
      <c r="A172" s="2" t="inlineStr">
        <is>
          <t>D-0171</t>
        </is>
      </c>
      <c r="B172" s="2" t="inlineStr">
        <is>
          <t>Sofia Delgado</t>
        </is>
      </c>
      <c r="C172" s="2" t="inlineStr">
        <is>
          <t>Central</t>
        </is>
      </c>
      <c r="D172" s="2" t="inlineStr">
        <is>
          <t>Q4</t>
        </is>
      </c>
      <c r="E172" s="2" t="inlineStr">
        <is>
          <t>Enterprise Suite</t>
        </is>
      </c>
      <c r="F172" s="3" t="n">
        <v>40555</v>
      </c>
      <c r="G172" s="2" t="inlineStr">
        <is>
          <t>N</t>
        </is>
      </c>
    </row>
    <row r="173">
      <c r="A173" s="2" t="inlineStr">
        <is>
          <t>D-0172</t>
        </is>
      </c>
      <c r="B173" s="2" t="inlineStr">
        <is>
          <t>Sofia Delgado</t>
        </is>
      </c>
      <c r="C173" s="2" t="inlineStr">
        <is>
          <t>Central</t>
        </is>
      </c>
      <c r="D173" s="2" t="inlineStr">
        <is>
          <t>Q4</t>
        </is>
      </c>
      <c r="E173" s="2" t="inlineStr">
        <is>
          <t>Core Platform</t>
        </is>
      </c>
      <c r="F173" s="3" t="n">
        <v>20278</v>
      </c>
      <c r="G173" s="2" t="inlineStr">
        <is>
          <t>N</t>
        </is>
      </c>
    </row>
    <row r="174">
      <c r="A174" s="2" t="inlineStr">
        <is>
          <t>D-0173</t>
        </is>
      </c>
      <c r="B174" s="2" t="inlineStr">
        <is>
          <t>Sofia Delgado</t>
        </is>
      </c>
      <c r="C174" s="2" t="inlineStr">
        <is>
          <t>Central</t>
        </is>
      </c>
      <c r="D174" s="2" t="inlineStr">
        <is>
          <t>Q4</t>
        </is>
      </c>
      <c r="E174" s="2" t="inlineStr">
        <is>
          <t>Core Platform</t>
        </is>
      </c>
      <c r="F174" s="3" t="n">
        <v>14830</v>
      </c>
      <c r="G174" s="2" t="inlineStr">
        <is>
          <t>Y</t>
        </is>
      </c>
    </row>
    <row r="175">
      <c r="A175" s="2" t="inlineStr">
        <is>
          <t>D-0174</t>
        </is>
      </c>
      <c r="B175" s="2" t="inlineStr">
        <is>
          <t>Sofia Delgado</t>
        </is>
      </c>
      <c r="C175" s="2" t="inlineStr">
        <is>
          <t>Central</t>
        </is>
      </c>
      <c r="D175" s="2" t="inlineStr">
        <is>
          <t>Q4</t>
        </is>
      </c>
      <c r="E175" s="2" t="inlineStr">
        <is>
          <t>Enterprise Suite</t>
        </is>
      </c>
      <c r="F175" s="3" t="n">
        <v>90946</v>
      </c>
      <c r="G175" s="2" t="inlineStr">
        <is>
          <t>N</t>
        </is>
      </c>
    </row>
    <row r="176">
      <c r="A176" s="2" t="inlineStr">
        <is>
          <t>D-0175</t>
        </is>
      </c>
      <c r="B176" s="2" t="inlineStr">
        <is>
          <t>Tyler Brooks</t>
        </is>
      </c>
      <c r="C176" s="2" t="inlineStr">
        <is>
          <t>Central</t>
        </is>
      </c>
      <c r="D176" s="2" t="inlineStr">
        <is>
          <t>Q1</t>
        </is>
      </c>
      <c r="E176" s="2" t="inlineStr">
        <is>
          <t>Add-on Services</t>
        </is>
      </c>
      <c r="F176" s="3" t="n">
        <v>4119</v>
      </c>
      <c r="G176" s="2" t="inlineStr">
        <is>
          <t>N</t>
        </is>
      </c>
    </row>
    <row r="177">
      <c r="A177" s="2" t="inlineStr">
        <is>
          <t>D-0176</t>
        </is>
      </c>
      <c r="B177" s="2" t="inlineStr">
        <is>
          <t>Tyler Brooks</t>
        </is>
      </c>
      <c r="C177" s="2" t="inlineStr">
        <is>
          <t>Central</t>
        </is>
      </c>
      <c r="D177" s="2" t="inlineStr">
        <is>
          <t>Q1</t>
        </is>
      </c>
      <c r="E177" s="2" t="inlineStr">
        <is>
          <t>Core Platform</t>
        </is>
      </c>
      <c r="F177" s="3" t="n">
        <v>13290</v>
      </c>
      <c r="G177" s="2" t="inlineStr">
        <is>
          <t>N</t>
        </is>
      </c>
    </row>
    <row r="178">
      <c r="A178" s="2" t="inlineStr">
        <is>
          <t>D-0177</t>
        </is>
      </c>
      <c r="B178" s="2" t="inlineStr">
        <is>
          <t>Tyler Brooks</t>
        </is>
      </c>
      <c r="C178" s="2" t="inlineStr">
        <is>
          <t>Central</t>
        </is>
      </c>
      <c r="D178" s="2" t="inlineStr">
        <is>
          <t>Q1</t>
        </is>
      </c>
      <c r="E178" s="2" t="inlineStr">
        <is>
          <t>Enterprise Suite</t>
        </is>
      </c>
      <c r="F178" s="3" t="n">
        <v>23083</v>
      </c>
      <c r="G178" s="2" t="inlineStr">
        <is>
          <t>N</t>
        </is>
      </c>
    </row>
    <row r="179">
      <c r="A179" s="2" t="inlineStr">
        <is>
          <t>D-0178</t>
        </is>
      </c>
      <c r="B179" s="2" t="inlineStr">
        <is>
          <t>Tyler Brooks</t>
        </is>
      </c>
      <c r="C179" s="2" t="inlineStr">
        <is>
          <t>Central</t>
        </is>
      </c>
      <c r="D179" s="2" t="inlineStr">
        <is>
          <t>Q1</t>
        </is>
      </c>
      <c r="E179" s="2" t="inlineStr">
        <is>
          <t>Add-on Services</t>
        </is>
      </c>
      <c r="F179" s="3" t="n">
        <v>2876</v>
      </c>
      <c r="G179" s="2" t="inlineStr">
        <is>
          <t>Y</t>
        </is>
      </c>
    </row>
    <row r="180">
      <c r="A180" s="2" t="inlineStr">
        <is>
          <t>D-0179</t>
        </is>
      </c>
      <c r="B180" s="2" t="inlineStr">
        <is>
          <t>Tyler Brooks</t>
        </is>
      </c>
      <c r="C180" s="2" t="inlineStr">
        <is>
          <t>Central</t>
        </is>
      </c>
      <c r="D180" s="2" t="inlineStr">
        <is>
          <t>Q1</t>
        </is>
      </c>
      <c r="E180" s="2" t="inlineStr">
        <is>
          <t>Enterprise Suite</t>
        </is>
      </c>
      <c r="F180" s="3" t="n">
        <v>73834</v>
      </c>
      <c r="G180" s="2" t="inlineStr">
        <is>
          <t>N</t>
        </is>
      </c>
    </row>
    <row r="181">
      <c r="A181" s="2" t="inlineStr">
        <is>
          <t>D-0180</t>
        </is>
      </c>
      <c r="B181" s="2" t="inlineStr">
        <is>
          <t>Tyler Brooks</t>
        </is>
      </c>
      <c r="C181" s="2" t="inlineStr">
        <is>
          <t>Central</t>
        </is>
      </c>
      <c r="D181" s="2" t="inlineStr">
        <is>
          <t>Q1</t>
        </is>
      </c>
      <c r="E181" s="2" t="inlineStr">
        <is>
          <t>Core Platform</t>
        </is>
      </c>
      <c r="F181" s="3" t="n">
        <v>21995</v>
      </c>
      <c r="G181" s="2" t="inlineStr">
        <is>
          <t>N</t>
        </is>
      </c>
    </row>
    <row r="182">
      <c r="A182" s="2" t="inlineStr">
        <is>
          <t>D-0181</t>
        </is>
      </c>
      <c r="B182" s="2" t="inlineStr">
        <is>
          <t>Tyler Brooks</t>
        </is>
      </c>
      <c r="C182" s="2" t="inlineStr">
        <is>
          <t>Central</t>
        </is>
      </c>
      <c r="D182" s="2" t="inlineStr">
        <is>
          <t>Q1</t>
        </is>
      </c>
      <c r="E182" s="2" t="inlineStr">
        <is>
          <t>Add-on Services</t>
        </is>
      </c>
      <c r="F182" s="3" t="n">
        <v>22306</v>
      </c>
      <c r="G182" s="2" t="inlineStr">
        <is>
          <t>N</t>
        </is>
      </c>
    </row>
    <row r="183">
      <c r="A183" s="2" t="inlineStr">
        <is>
          <t>D-0182</t>
        </is>
      </c>
      <c r="B183" s="2" t="inlineStr">
        <is>
          <t>Tyler Brooks</t>
        </is>
      </c>
      <c r="C183" s="2" t="inlineStr">
        <is>
          <t>Central</t>
        </is>
      </c>
      <c r="D183" s="2" t="inlineStr">
        <is>
          <t>Q1</t>
        </is>
      </c>
      <c r="E183" s="2" t="inlineStr">
        <is>
          <t>Add-on Services</t>
        </is>
      </c>
      <c r="F183" s="3" t="n">
        <v>7073</v>
      </c>
      <c r="G183" s="2" t="inlineStr">
        <is>
          <t>Y</t>
        </is>
      </c>
    </row>
    <row r="184">
      <c r="A184" s="2" t="inlineStr">
        <is>
          <t>D-0183</t>
        </is>
      </c>
      <c r="B184" s="2" t="inlineStr">
        <is>
          <t>Tyler Brooks</t>
        </is>
      </c>
      <c r="C184" s="2" t="inlineStr">
        <is>
          <t>Central</t>
        </is>
      </c>
      <c r="D184" s="2" t="inlineStr">
        <is>
          <t>Q1</t>
        </is>
      </c>
      <c r="E184" s="2" t="inlineStr">
        <is>
          <t>Core Platform</t>
        </is>
      </c>
      <c r="F184" s="3" t="n">
        <v>25104</v>
      </c>
      <c r="G184" s="2" t="inlineStr">
        <is>
          <t>N</t>
        </is>
      </c>
    </row>
    <row r="185">
      <c r="A185" s="2" t="inlineStr">
        <is>
          <t>D-0184</t>
        </is>
      </c>
      <c r="B185" s="2" t="inlineStr">
        <is>
          <t>Tyler Brooks</t>
        </is>
      </c>
      <c r="C185" s="2" t="inlineStr">
        <is>
          <t>Central</t>
        </is>
      </c>
      <c r="D185" s="2" t="inlineStr">
        <is>
          <t>Q2</t>
        </is>
      </c>
      <c r="E185" s="2" t="inlineStr">
        <is>
          <t>Core Platform</t>
        </is>
      </c>
      <c r="F185" s="3" t="n">
        <v>10602</v>
      </c>
      <c r="G185" s="2" t="inlineStr">
        <is>
          <t>N</t>
        </is>
      </c>
    </row>
    <row r="186">
      <c r="A186" s="2" t="inlineStr">
        <is>
          <t>D-0185</t>
        </is>
      </c>
      <c r="B186" s="2" t="inlineStr">
        <is>
          <t>Tyler Brooks</t>
        </is>
      </c>
      <c r="C186" s="2" t="inlineStr">
        <is>
          <t>Central</t>
        </is>
      </c>
      <c r="D186" s="2" t="inlineStr">
        <is>
          <t>Q2</t>
        </is>
      </c>
      <c r="E186" s="2" t="inlineStr">
        <is>
          <t>Add-on Services</t>
        </is>
      </c>
      <c r="F186" s="3" t="n">
        <v>2441</v>
      </c>
      <c r="G186" s="2" t="inlineStr">
        <is>
          <t>N</t>
        </is>
      </c>
    </row>
    <row r="187">
      <c r="A187" s="2" t="inlineStr">
        <is>
          <t>D-0186</t>
        </is>
      </c>
      <c r="B187" s="2" t="inlineStr">
        <is>
          <t>Tyler Brooks</t>
        </is>
      </c>
      <c r="C187" s="2" t="inlineStr">
        <is>
          <t>Central</t>
        </is>
      </c>
      <c r="D187" s="2" t="inlineStr">
        <is>
          <t>Q2</t>
        </is>
      </c>
      <c r="E187" s="2" t="inlineStr">
        <is>
          <t>Core Platform</t>
        </is>
      </c>
      <c r="F187" s="3" t="n">
        <v>11136</v>
      </c>
      <c r="G187" s="2" t="inlineStr">
        <is>
          <t>N</t>
        </is>
      </c>
    </row>
    <row r="188">
      <c r="A188" s="2" t="inlineStr">
        <is>
          <t>D-0187</t>
        </is>
      </c>
      <c r="B188" s="2" t="inlineStr">
        <is>
          <t>Tyler Brooks</t>
        </is>
      </c>
      <c r="C188" s="2" t="inlineStr">
        <is>
          <t>Central</t>
        </is>
      </c>
      <c r="D188" s="2" t="inlineStr">
        <is>
          <t>Q2</t>
        </is>
      </c>
      <c r="E188" s="2" t="inlineStr">
        <is>
          <t>Core Platform</t>
        </is>
      </c>
      <c r="F188" s="3" t="n">
        <v>6407</v>
      </c>
      <c r="G188" s="2" t="inlineStr">
        <is>
          <t>N</t>
        </is>
      </c>
    </row>
    <row r="189">
      <c r="A189" s="2" t="inlineStr">
        <is>
          <t>D-0188</t>
        </is>
      </c>
      <c r="B189" s="2" t="inlineStr">
        <is>
          <t>Tyler Brooks</t>
        </is>
      </c>
      <c r="C189" s="2" t="inlineStr">
        <is>
          <t>Central</t>
        </is>
      </c>
      <c r="D189" s="2" t="inlineStr">
        <is>
          <t>Q2</t>
        </is>
      </c>
      <c r="E189" s="2" t="inlineStr">
        <is>
          <t>Enterprise Suite</t>
        </is>
      </c>
      <c r="F189" s="3" t="n">
        <v>38136</v>
      </c>
      <c r="G189" s="2" t="inlineStr">
        <is>
          <t>N</t>
        </is>
      </c>
    </row>
    <row r="190">
      <c r="A190" s="2" t="inlineStr">
        <is>
          <t>D-0189</t>
        </is>
      </c>
      <c r="B190" s="2" t="inlineStr">
        <is>
          <t>Tyler Brooks</t>
        </is>
      </c>
      <c r="C190" s="2" t="inlineStr">
        <is>
          <t>Central</t>
        </is>
      </c>
      <c r="D190" s="2" t="inlineStr">
        <is>
          <t>Q2</t>
        </is>
      </c>
      <c r="E190" s="2" t="inlineStr">
        <is>
          <t>Add-on Services</t>
        </is>
      </c>
      <c r="F190" s="3" t="n">
        <v>2898</v>
      </c>
      <c r="G190" s="2" t="inlineStr">
        <is>
          <t>N</t>
        </is>
      </c>
    </row>
    <row r="191">
      <c r="A191" s="2" t="inlineStr">
        <is>
          <t>D-0190</t>
        </is>
      </c>
      <c r="B191" s="2" t="inlineStr">
        <is>
          <t>Tyler Brooks</t>
        </is>
      </c>
      <c r="C191" s="2" t="inlineStr">
        <is>
          <t>Central</t>
        </is>
      </c>
      <c r="D191" s="2" t="inlineStr">
        <is>
          <t>Q2</t>
        </is>
      </c>
      <c r="E191" s="2" t="inlineStr">
        <is>
          <t>Core Platform</t>
        </is>
      </c>
      <c r="F191" s="3" t="n">
        <v>5110</v>
      </c>
      <c r="G191" s="2" t="inlineStr">
        <is>
          <t>N</t>
        </is>
      </c>
    </row>
    <row r="192">
      <c r="A192" s="2" t="inlineStr">
        <is>
          <t>D-0191</t>
        </is>
      </c>
      <c r="B192" s="2" t="inlineStr">
        <is>
          <t>Tyler Brooks</t>
        </is>
      </c>
      <c r="C192" s="2" t="inlineStr">
        <is>
          <t>Central</t>
        </is>
      </c>
      <c r="D192" s="2" t="inlineStr">
        <is>
          <t>Q2</t>
        </is>
      </c>
      <c r="E192" s="2" t="inlineStr">
        <is>
          <t>Enterprise Suite</t>
        </is>
      </c>
      <c r="F192" s="3" t="n">
        <v>25704</v>
      </c>
      <c r="G192" s="2" t="inlineStr">
        <is>
          <t>N</t>
        </is>
      </c>
    </row>
    <row r="193">
      <c r="A193" s="2" t="inlineStr">
        <is>
          <t>D-0192</t>
        </is>
      </c>
      <c r="B193" s="2" t="inlineStr">
        <is>
          <t>Tyler Brooks</t>
        </is>
      </c>
      <c r="C193" s="2" t="inlineStr">
        <is>
          <t>Central</t>
        </is>
      </c>
      <c r="D193" s="2" t="inlineStr">
        <is>
          <t>Q2</t>
        </is>
      </c>
      <c r="E193" s="2" t="inlineStr">
        <is>
          <t>Enterprise Suite</t>
        </is>
      </c>
      <c r="F193" s="3" t="n">
        <v>53467</v>
      </c>
      <c r="G193" s="2" t="inlineStr">
        <is>
          <t>N</t>
        </is>
      </c>
    </row>
    <row r="194">
      <c r="A194" s="2" t="inlineStr">
        <is>
          <t>D-0193</t>
        </is>
      </c>
      <c r="B194" s="2" t="inlineStr">
        <is>
          <t>Tyler Brooks</t>
        </is>
      </c>
      <c r="C194" s="2" t="inlineStr">
        <is>
          <t>Central</t>
        </is>
      </c>
      <c r="D194" s="2" t="inlineStr">
        <is>
          <t>Q2</t>
        </is>
      </c>
      <c r="E194" s="2" t="inlineStr">
        <is>
          <t>Enterprise Suite</t>
        </is>
      </c>
      <c r="F194" s="3" t="n">
        <v>40653</v>
      </c>
      <c r="G194" s="2" t="inlineStr">
        <is>
          <t>N</t>
        </is>
      </c>
    </row>
    <row r="195">
      <c r="A195" s="2" t="inlineStr">
        <is>
          <t>D-0194</t>
        </is>
      </c>
      <c r="B195" s="2" t="inlineStr">
        <is>
          <t>Tyler Brooks</t>
        </is>
      </c>
      <c r="C195" s="2" t="inlineStr">
        <is>
          <t>Central</t>
        </is>
      </c>
      <c r="D195" s="2" t="inlineStr">
        <is>
          <t>Q3</t>
        </is>
      </c>
      <c r="E195" s="2" t="inlineStr">
        <is>
          <t>Enterprise Suite</t>
        </is>
      </c>
      <c r="F195" s="3" t="n">
        <v>29999</v>
      </c>
      <c r="G195" s="2" t="inlineStr">
        <is>
          <t>Y</t>
        </is>
      </c>
    </row>
    <row r="196">
      <c r="A196" s="2" t="inlineStr">
        <is>
          <t>D-0195</t>
        </is>
      </c>
      <c r="B196" s="2" t="inlineStr">
        <is>
          <t>Tyler Brooks</t>
        </is>
      </c>
      <c r="C196" s="2" t="inlineStr">
        <is>
          <t>Central</t>
        </is>
      </c>
      <c r="D196" s="2" t="inlineStr">
        <is>
          <t>Q3</t>
        </is>
      </c>
      <c r="E196" s="2" t="inlineStr">
        <is>
          <t>Enterprise Suite</t>
        </is>
      </c>
      <c r="F196" s="3" t="n">
        <v>52762</v>
      </c>
      <c r="G196" s="2" t="inlineStr">
        <is>
          <t>N</t>
        </is>
      </c>
    </row>
    <row r="197">
      <c r="A197" s="2" t="inlineStr">
        <is>
          <t>D-0196</t>
        </is>
      </c>
      <c r="B197" s="2" t="inlineStr">
        <is>
          <t>Tyler Brooks</t>
        </is>
      </c>
      <c r="C197" s="2" t="inlineStr">
        <is>
          <t>Central</t>
        </is>
      </c>
      <c r="D197" s="2" t="inlineStr">
        <is>
          <t>Q3</t>
        </is>
      </c>
      <c r="E197" s="2" t="inlineStr">
        <is>
          <t>Core Platform</t>
        </is>
      </c>
      <c r="F197" s="3" t="n">
        <v>11984</v>
      </c>
      <c r="G197" s="2" t="inlineStr">
        <is>
          <t>N</t>
        </is>
      </c>
    </row>
    <row r="198">
      <c r="A198" s="2" t="inlineStr">
        <is>
          <t>D-0197</t>
        </is>
      </c>
      <c r="B198" s="2" t="inlineStr">
        <is>
          <t>Tyler Brooks</t>
        </is>
      </c>
      <c r="C198" s="2" t="inlineStr">
        <is>
          <t>Central</t>
        </is>
      </c>
      <c r="D198" s="2" t="inlineStr">
        <is>
          <t>Q3</t>
        </is>
      </c>
      <c r="E198" s="2" t="inlineStr">
        <is>
          <t>Core Platform</t>
        </is>
      </c>
      <c r="F198" s="3" t="n">
        <v>33315</v>
      </c>
      <c r="G198" s="2" t="inlineStr">
        <is>
          <t>N</t>
        </is>
      </c>
    </row>
    <row r="199">
      <c r="A199" s="2" t="inlineStr">
        <is>
          <t>D-0198</t>
        </is>
      </c>
      <c r="B199" s="2" t="inlineStr">
        <is>
          <t>Tyler Brooks</t>
        </is>
      </c>
      <c r="C199" s="2" t="inlineStr">
        <is>
          <t>Central</t>
        </is>
      </c>
      <c r="D199" s="2" t="inlineStr">
        <is>
          <t>Q3</t>
        </is>
      </c>
      <c r="E199" s="2" t="inlineStr">
        <is>
          <t>Enterprise Suite</t>
        </is>
      </c>
      <c r="F199" s="3" t="n">
        <v>11231</v>
      </c>
      <c r="G199" s="2" t="inlineStr">
        <is>
          <t>N</t>
        </is>
      </c>
    </row>
    <row r="200">
      <c r="A200" s="2" t="inlineStr">
        <is>
          <t>D-0199</t>
        </is>
      </c>
      <c r="B200" s="2" t="inlineStr">
        <is>
          <t>Tyler Brooks</t>
        </is>
      </c>
      <c r="C200" s="2" t="inlineStr">
        <is>
          <t>Central</t>
        </is>
      </c>
      <c r="D200" s="2" t="inlineStr">
        <is>
          <t>Q3</t>
        </is>
      </c>
      <c r="E200" s="2" t="inlineStr">
        <is>
          <t>Core Platform</t>
        </is>
      </c>
      <c r="F200" s="3" t="n">
        <v>28341</v>
      </c>
      <c r="G200" s="2" t="inlineStr">
        <is>
          <t>N</t>
        </is>
      </c>
    </row>
    <row r="201">
      <c r="A201" s="2" t="inlineStr">
        <is>
          <t>D-0200</t>
        </is>
      </c>
      <c r="B201" s="2" t="inlineStr">
        <is>
          <t>Tyler Brooks</t>
        </is>
      </c>
      <c r="C201" s="2" t="inlineStr">
        <is>
          <t>Central</t>
        </is>
      </c>
      <c r="D201" s="2" t="inlineStr">
        <is>
          <t>Q3</t>
        </is>
      </c>
      <c r="E201" s="2" t="inlineStr">
        <is>
          <t>Core Platform</t>
        </is>
      </c>
      <c r="F201" s="3" t="n">
        <v>30979</v>
      </c>
      <c r="G201" s="2" t="inlineStr">
        <is>
          <t>N</t>
        </is>
      </c>
    </row>
    <row r="202">
      <c r="A202" s="2" t="inlineStr">
        <is>
          <t>D-0201</t>
        </is>
      </c>
      <c r="B202" s="2" t="inlineStr">
        <is>
          <t>Tyler Brooks</t>
        </is>
      </c>
      <c r="C202" s="2" t="inlineStr">
        <is>
          <t>Central</t>
        </is>
      </c>
      <c r="D202" s="2" t="inlineStr">
        <is>
          <t>Q3</t>
        </is>
      </c>
      <c r="E202" s="2" t="inlineStr">
        <is>
          <t>Add-on Services</t>
        </is>
      </c>
      <c r="F202" s="3" t="n">
        <v>2487</v>
      </c>
      <c r="G202" s="2" t="inlineStr">
        <is>
          <t>N</t>
        </is>
      </c>
    </row>
    <row r="203">
      <c r="A203" s="2" t="inlineStr">
        <is>
          <t>D-0202</t>
        </is>
      </c>
      <c r="B203" s="2" t="inlineStr">
        <is>
          <t>Tyler Brooks</t>
        </is>
      </c>
      <c r="C203" s="2" t="inlineStr">
        <is>
          <t>Central</t>
        </is>
      </c>
      <c r="D203" s="2" t="inlineStr">
        <is>
          <t>Q4</t>
        </is>
      </c>
      <c r="E203" s="2" t="inlineStr">
        <is>
          <t>Core Platform</t>
        </is>
      </c>
      <c r="F203" s="3" t="n">
        <v>26894</v>
      </c>
      <c r="G203" s="2" t="inlineStr">
        <is>
          <t>Y</t>
        </is>
      </c>
    </row>
    <row r="204">
      <c r="A204" s="2" t="inlineStr">
        <is>
          <t>D-0203</t>
        </is>
      </c>
      <c r="B204" s="2" t="inlineStr">
        <is>
          <t>Tyler Brooks</t>
        </is>
      </c>
      <c r="C204" s="2" t="inlineStr">
        <is>
          <t>Central</t>
        </is>
      </c>
      <c r="D204" s="2" t="inlineStr">
        <is>
          <t>Q4</t>
        </is>
      </c>
      <c r="E204" s="2" t="inlineStr">
        <is>
          <t>Add-on Services</t>
        </is>
      </c>
      <c r="F204" s="3" t="n">
        <v>4417</v>
      </c>
      <c r="G204" s="2" t="inlineStr">
        <is>
          <t>N</t>
        </is>
      </c>
    </row>
    <row r="205">
      <c r="A205" s="2" t="inlineStr">
        <is>
          <t>D-0204</t>
        </is>
      </c>
      <c r="B205" s="2" t="inlineStr">
        <is>
          <t>Tyler Brooks</t>
        </is>
      </c>
      <c r="C205" s="2" t="inlineStr">
        <is>
          <t>Central</t>
        </is>
      </c>
      <c r="D205" s="2" t="inlineStr">
        <is>
          <t>Q4</t>
        </is>
      </c>
      <c r="E205" s="2" t="inlineStr">
        <is>
          <t>Add-on Services</t>
        </is>
      </c>
      <c r="F205" s="3" t="n">
        <v>10208</v>
      </c>
      <c r="G205" s="2" t="inlineStr">
        <is>
          <t>Y</t>
        </is>
      </c>
    </row>
    <row r="206">
      <c r="A206" s="2" t="inlineStr">
        <is>
          <t>D-0205</t>
        </is>
      </c>
      <c r="B206" s="2" t="inlineStr">
        <is>
          <t>Tyler Brooks</t>
        </is>
      </c>
      <c r="C206" s="2" t="inlineStr">
        <is>
          <t>Central</t>
        </is>
      </c>
      <c r="D206" s="2" t="inlineStr">
        <is>
          <t>Q4</t>
        </is>
      </c>
      <c r="E206" s="2" t="inlineStr">
        <is>
          <t>Core Platform</t>
        </is>
      </c>
      <c r="F206" s="3" t="n">
        <v>8147</v>
      </c>
      <c r="G206" s="2" t="inlineStr">
        <is>
          <t>Y</t>
        </is>
      </c>
    </row>
    <row r="207">
      <c r="A207" s="2" t="inlineStr">
        <is>
          <t>D-0206</t>
        </is>
      </c>
      <c r="B207" s="2" t="inlineStr">
        <is>
          <t>Tyler Brooks</t>
        </is>
      </c>
      <c r="C207" s="2" t="inlineStr">
        <is>
          <t>Central</t>
        </is>
      </c>
      <c r="D207" s="2" t="inlineStr">
        <is>
          <t>Q4</t>
        </is>
      </c>
      <c r="E207" s="2" t="inlineStr">
        <is>
          <t>Core Platform</t>
        </is>
      </c>
      <c r="F207" s="3" t="n">
        <v>10306</v>
      </c>
      <c r="G207" s="2" t="inlineStr">
        <is>
          <t>N</t>
        </is>
      </c>
    </row>
    <row r="208">
      <c r="A208" s="2" t="inlineStr">
        <is>
          <t>D-0207</t>
        </is>
      </c>
      <c r="B208" s="2" t="inlineStr">
        <is>
          <t>Tyler Brooks</t>
        </is>
      </c>
      <c r="C208" s="2" t="inlineStr">
        <is>
          <t>Central</t>
        </is>
      </c>
      <c r="D208" s="2" t="inlineStr">
        <is>
          <t>Q4</t>
        </is>
      </c>
      <c r="E208" s="2" t="inlineStr">
        <is>
          <t>Add-on Services</t>
        </is>
      </c>
      <c r="F208" s="3" t="n">
        <v>12171</v>
      </c>
      <c r="G208" s="2" t="inlineStr">
        <is>
          <t>Y</t>
        </is>
      </c>
    </row>
    <row r="209">
      <c r="A209" s="2" t="inlineStr">
        <is>
          <t>D-0208</t>
        </is>
      </c>
      <c r="B209" s="2" t="inlineStr">
        <is>
          <t>Tyler Brooks</t>
        </is>
      </c>
      <c r="C209" s="2" t="inlineStr">
        <is>
          <t>Central</t>
        </is>
      </c>
      <c r="D209" s="2" t="inlineStr">
        <is>
          <t>Q4</t>
        </is>
      </c>
      <c r="E209" s="2" t="inlineStr">
        <is>
          <t>Add-on Services</t>
        </is>
      </c>
      <c r="F209" s="3" t="n">
        <v>3337</v>
      </c>
      <c r="G209" s="2" t="inlineStr">
        <is>
          <t>N</t>
        </is>
      </c>
    </row>
    <row r="210">
      <c r="A210" s="2" t="inlineStr">
        <is>
          <t>D-0209</t>
        </is>
      </c>
      <c r="B210" s="2" t="inlineStr">
        <is>
          <t>Tyler Brooks</t>
        </is>
      </c>
      <c r="C210" s="2" t="inlineStr">
        <is>
          <t>Central</t>
        </is>
      </c>
      <c r="D210" s="2" t="inlineStr">
        <is>
          <t>Q4</t>
        </is>
      </c>
      <c r="E210" s="2" t="inlineStr">
        <is>
          <t>Core Platform</t>
        </is>
      </c>
      <c r="F210" s="3" t="n">
        <v>11582</v>
      </c>
      <c r="G210" s="2" t="inlineStr">
        <is>
          <t>Y</t>
        </is>
      </c>
    </row>
    <row r="211">
      <c r="A211" s="2" t="inlineStr">
        <is>
          <t>D-0210</t>
        </is>
      </c>
      <c r="B211" s="2" t="inlineStr">
        <is>
          <t>Tyler Brooks</t>
        </is>
      </c>
      <c r="C211" s="2" t="inlineStr">
        <is>
          <t>Central</t>
        </is>
      </c>
      <c r="D211" s="2" t="inlineStr">
        <is>
          <t>Q4</t>
        </is>
      </c>
      <c r="E211" s="2" t="inlineStr">
        <is>
          <t>Add-on Services</t>
        </is>
      </c>
      <c r="F211" s="3" t="n">
        <v>2945</v>
      </c>
      <c r="G211" s="2" t="inlineStr">
        <is>
          <t>Y</t>
        </is>
      </c>
    </row>
    <row r="212">
      <c r="A212" s="2" t="inlineStr">
        <is>
          <t>D-0211</t>
        </is>
      </c>
      <c r="B212" s="2" t="inlineStr">
        <is>
          <t>Tyler Brooks</t>
        </is>
      </c>
      <c r="C212" s="2" t="inlineStr">
        <is>
          <t>Central</t>
        </is>
      </c>
      <c r="D212" s="2" t="inlineStr">
        <is>
          <t>Q4</t>
        </is>
      </c>
      <c r="E212" s="2" t="inlineStr">
        <is>
          <t>Core Platform</t>
        </is>
      </c>
      <c r="F212" s="3" t="n">
        <v>78228</v>
      </c>
      <c r="G212" s="2" t="inlineStr">
        <is>
          <t>N</t>
        </is>
      </c>
    </row>
    <row r="213">
      <c r="A213" s="2" t="inlineStr">
        <is>
          <t>D-0212</t>
        </is>
      </c>
      <c r="B213" s="2" t="inlineStr">
        <is>
          <t>Tyler Brooks</t>
        </is>
      </c>
      <c r="C213" s="2" t="inlineStr">
        <is>
          <t>Central</t>
        </is>
      </c>
      <c r="D213" s="2" t="inlineStr">
        <is>
          <t>Q4</t>
        </is>
      </c>
      <c r="E213" s="2" t="inlineStr">
        <is>
          <t>Core Platform</t>
        </is>
      </c>
      <c r="F213" s="3" t="n">
        <v>10502</v>
      </c>
      <c r="G213" s="2" t="inlineStr">
        <is>
          <t>N</t>
        </is>
      </c>
    </row>
    <row r="214">
      <c r="A214" s="2" t="inlineStr">
        <is>
          <t>D-0213</t>
        </is>
      </c>
      <c r="B214" s="2" t="inlineStr">
        <is>
          <t>Tyler Brooks</t>
        </is>
      </c>
      <c r="C214" s="2" t="inlineStr">
        <is>
          <t>Central</t>
        </is>
      </c>
      <c r="D214" s="2" t="inlineStr">
        <is>
          <t>Q4</t>
        </is>
      </c>
      <c r="E214" s="2" t="inlineStr">
        <is>
          <t>Core Platform</t>
        </is>
      </c>
      <c r="F214" s="3" t="n">
        <v>21496</v>
      </c>
      <c r="G214" s="2" t="inlineStr">
        <is>
          <t>Y</t>
        </is>
      </c>
    </row>
    <row r="215">
      <c r="A215" s="2" t="inlineStr">
        <is>
          <t>D-0214</t>
        </is>
      </c>
      <c r="B215" s="2" t="inlineStr">
        <is>
          <t>Tyler Brooks</t>
        </is>
      </c>
      <c r="C215" s="2" t="inlineStr">
        <is>
          <t>Central</t>
        </is>
      </c>
      <c r="D215" s="2" t="inlineStr">
        <is>
          <t>Q4</t>
        </is>
      </c>
      <c r="E215" s="2" t="inlineStr">
        <is>
          <t>Enterprise Suite</t>
        </is>
      </c>
      <c r="F215" s="3" t="n">
        <v>75185</v>
      </c>
      <c r="G215" s="2" t="inlineStr">
        <is>
          <t>N</t>
        </is>
      </c>
    </row>
    <row r="216">
      <c r="A216" s="2" t="inlineStr">
        <is>
          <t>D-0215</t>
        </is>
      </c>
      <c r="B216" s="2" t="inlineStr">
        <is>
          <t>Aisha Khan</t>
        </is>
      </c>
      <c r="C216" s="2" t="inlineStr">
        <is>
          <t>Central</t>
        </is>
      </c>
      <c r="D216" s="2" t="inlineStr">
        <is>
          <t>Q1</t>
        </is>
      </c>
      <c r="E216" s="2" t="inlineStr">
        <is>
          <t>Core Platform</t>
        </is>
      </c>
      <c r="F216" s="3" t="n">
        <v>12306</v>
      </c>
      <c r="G216" s="2" t="inlineStr">
        <is>
          <t>N</t>
        </is>
      </c>
    </row>
    <row r="217">
      <c r="A217" s="2" t="inlineStr">
        <is>
          <t>D-0216</t>
        </is>
      </c>
      <c r="B217" s="2" t="inlineStr">
        <is>
          <t>Aisha Khan</t>
        </is>
      </c>
      <c r="C217" s="2" t="inlineStr">
        <is>
          <t>Central</t>
        </is>
      </c>
      <c r="D217" s="2" t="inlineStr">
        <is>
          <t>Q1</t>
        </is>
      </c>
      <c r="E217" s="2" t="inlineStr">
        <is>
          <t>Core Platform</t>
        </is>
      </c>
      <c r="F217" s="3" t="n">
        <v>22971</v>
      </c>
      <c r="G217" s="2" t="inlineStr">
        <is>
          <t>Y</t>
        </is>
      </c>
    </row>
    <row r="218">
      <c r="A218" s="2" t="inlineStr">
        <is>
          <t>D-0217</t>
        </is>
      </c>
      <c r="B218" s="2" t="inlineStr">
        <is>
          <t>Aisha Khan</t>
        </is>
      </c>
      <c r="C218" s="2" t="inlineStr">
        <is>
          <t>Central</t>
        </is>
      </c>
      <c r="D218" s="2" t="inlineStr">
        <is>
          <t>Q1</t>
        </is>
      </c>
      <c r="E218" s="2" t="inlineStr">
        <is>
          <t>Core Platform</t>
        </is>
      </c>
      <c r="F218" s="3" t="n">
        <v>28222</v>
      </c>
      <c r="G218" s="2" t="inlineStr">
        <is>
          <t>N</t>
        </is>
      </c>
    </row>
    <row r="219">
      <c r="A219" s="2" t="inlineStr">
        <is>
          <t>D-0218</t>
        </is>
      </c>
      <c r="B219" s="2" t="inlineStr">
        <is>
          <t>Aisha Khan</t>
        </is>
      </c>
      <c r="C219" s="2" t="inlineStr">
        <is>
          <t>Central</t>
        </is>
      </c>
      <c r="D219" s="2" t="inlineStr">
        <is>
          <t>Q1</t>
        </is>
      </c>
      <c r="E219" s="2" t="inlineStr">
        <is>
          <t>Core Platform</t>
        </is>
      </c>
      <c r="F219" s="3" t="n">
        <v>31832</v>
      </c>
      <c r="G219" s="2" t="inlineStr">
        <is>
          <t>N</t>
        </is>
      </c>
    </row>
    <row r="220">
      <c r="A220" s="2" t="inlineStr">
        <is>
          <t>D-0219</t>
        </is>
      </c>
      <c r="B220" s="2" t="inlineStr">
        <is>
          <t>Aisha Khan</t>
        </is>
      </c>
      <c r="C220" s="2" t="inlineStr">
        <is>
          <t>Central</t>
        </is>
      </c>
      <c r="D220" s="2" t="inlineStr">
        <is>
          <t>Q1</t>
        </is>
      </c>
      <c r="E220" s="2" t="inlineStr">
        <is>
          <t>Add-on Services</t>
        </is>
      </c>
      <c r="F220" s="3" t="n">
        <v>8860</v>
      </c>
      <c r="G220" s="2" t="inlineStr">
        <is>
          <t>N</t>
        </is>
      </c>
    </row>
    <row r="221">
      <c r="A221" s="2" t="inlineStr">
        <is>
          <t>D-0220</t>
        </is>
      </c>
      <c r="B221" s="2" t="inlineStr">
        <is>
          <t>Aisha Khan</t>
        </is>
      </c>
      <c r="C221" s="2" t="inlineStr">
        <is>
          <t>Central</t>
        </is>
      </c>
      <c r="D221" s="2" t="inlineStr">
        <is>
          <t>Q1</t>
        </is>
      </c>
      <c r="E221" s="2" t="inlineStr">
        <is>
          <t>Enterprise Suite</t>
        </is>
      </c>
      <c r="F221" s="3" t="n">
        <v>42989</v>
      </c>
      <c r="G221" s="2" t="inlineStr">
        <is>
          <t>N</t>
        </is>
      </c>
    </row>
    <row r="222">
      <c r="A222" s="2" t="inlineStr">
        <is>
          <t>D-0221</t>
        </is>
      </c>
      <c r="B222" s="2" t="inlineStr">
        <is>
          <t>Aisha Khan</t>
        </is>
      </c>
      <c r="C222" s="2" t="inlineStr">
        <is>
          <t>Central</t>
        </is>
      </c>
      <c r="D222" s="2" t="inlineStr">
        <is>
          <t>Q1</t>
        </is>
      </c>
      <c r="E222" s="2" t="inlineStr">
        <is>
          <t>Add-on Services</t>
        </is>
      </c>
      <c r="F222" s="3" t="n">
        <v>20346</v>
      </c>
      <c r="G222" s="2" t="inlineStr">
        <is>
          <t>N</t>
        </is>
      </c>
    </row>
    <row r="223">
      <c r="A223" s="2" t="inlineStr">
        <is>
          <t>D-0222</t>
        </is>
      </c>
      <c r="B223" s="2" t="inlineStr">
        <is>
          <t>Aisha Khan</t>
        </is>
      </c>
      <c r="C223" s="2" t="inlineStr">
        <is>
          <t>Central</t>
        </is>
      </c>
      <c r="D223" s="2" t="inlineStr">
        <is>
          <t>Q1</t>
        </is>
      </c>
      <c r="E223" s="2" t="inlineStr">
        <is>
          <t>Core Platform</t>
        </is>
      </c>
      <c r="F223" s="3" t="n">
        <v>19033</v>
      </c>
      <c r="G223" s="2" t="inlineStr">
        <is>
          <t>Y</t>
        </is>
      </c>
    </row>
    <row r="224">
      <c r="A224" s="2" t="inlineStr">
        <is>
          <t>D-0223</t>
        </is>
      </c>
      <c r="B224" s="2" t="inlineStr">
        <is>
          <t>Aisha Khan</t>
        </is>
      </c>
      <c r="C224" s="2" t="inlineStr">
        <is>
          <t>Central</t>
        </is>
      </c>
      <c r="D224" s="2" t="inlineStr">
        <is>
          <t>Q1</t>
        </is>
      </c>
      <c r="E224" s="2" t="inlineStr">
        <is>
          <t>Enterprise Suite</t>
        </is>
      </c>
      <c r="F224" s="3" t="n">
        <v>81548</v>
      </c>
      <c r="G224" s="2" t="inlineStr">
        <is>
          <t>N</t>
        </is>
      </c>
    </row>
    <row r="225">
      <c r="A225" s="2" t="inlineStr">
        <is>
          <t>D-0224</t>
        </is>
      </c>
      <c r="B225" s="2" t="inlineStr">
        <is>
          <t>Aisha Khan</t>
        </is>
      </c>
      <c r="C225" s="2" t="inlineStr">
        <is>
          <t>Central</t>
        </is>
      </c>
      <c r="D225" s="2" t="inlineStr">
        <is>
          <t>Q1</t>
        </is>
      </c>
      <c r="E225" s="2" t="inlineStr">
        <is>
          <t>Core Platform</t>
        </is>
      </c>
      <c r="F225" s="3" t="n">
        <v>7220</v>
      </c>
      <c r="G225" s="2" t="inlineStr">
        <is>
          <t>Y</t>
        </is>
      </c>
    </row>
    <row r="226">
      <c r="A226" s="2" t="inlineStr">
        <is>
          <t>D-0225</t>
        </is>
      </c>
      <c r="B226" s="2" t="inlineStr">
        <is>
          <t>Aisha Khan</t>
        </is>
      </c>
      <c r="C226" s="2" t="inlineStr">
        <is>
          <t>Central</t>
        </is>
      </c>
      <c r="D226" s="2" t="inlineStr">
        <is>
          <t>Q1</t>
        </is>
      </c>
      <c r="E226" s="2" t="inlineStr">
        <is>
          <t>Core Platform</t>
        </is>
      </c>
      <c r="F226" s="3" t="n">
        <v>10993</v>
      </c>
      <c r="G226" s="2" t="inlineStr">
        <is>
          <t>N</t>
        </is>
      </c>
    </row>
    <row r="227">
      <c r="A227" s="2" t="inlineStr">
        <is>
          <t>D-0226</t>
        </is>
      </c>
      <c r="B227" s="2" t="inlineStr">
        <is>
          <t>Aisha Khan</t>
        </is>
      </c>
      <c r="C227" s="2" t="inlineStr">
        <is>
          <t>Central</t>
        </is>
      </c>
      <c r="D227" s="2" t="inlineStr">
        <is>
          <t>Q1</t>
        </is>
      </c>
      <c r="E227" s="2" t="inlineStr">
        <is>
          <t>Enterprise Suite</t>
        </is>
      </c>
      <c r="F227" s="3" t="n">
        <v>95167</v>
      </c>
      <c r="G227" s="2" t="inlineStr">
        <is>
          <t>N</t>
        </is>
      </c>
    </row>
    <row r="228">
      <c r="A228" s="2" t="inlineStr">
        <is>
          <t>D-0227</t>
        </is>
      </c>
      <c r="B228" s="2" t="inlineStr">
        <is>
          <t>Aisha Khan</t>
        </is>
      </c>
      <c r="C228" s="2" t="inlineStr">
        <is>
          <t>Central</t>
        </is>
      </c>
      <c r="D228" s="2" t="inlineStr">
        <is>
          <t>Q2</t>
        </is>
      </c>
      <c r="E228" s="2" t="inlineStr">
        <is>
          <t>Core Platform</t>
        </is>
      </c>
      <c r="F228" s="3" t="n">
        <v>22514</v>
      </c>
      <c r="G228" s="2" t="inlineStr">
        <is>
          <t>Y</t>
        </is>
      </c>
    </row>
    <row r="229">
      <c r="A229" s="2" t="inlineStr">
        <is>
          <t>D-0228</t>
        </is>
      </c>
      <c r="B229" s="2" t="inlineStr">
        <is>
          <t>Aisha Khan</t>
        </is>
      </c>
      <c r="C229" s="2" t="inlineStr">
        <is>
          <t>Central</t>
        </is>
      </c>
      <c r="D229" s="2" t="inlineStr">
        <is>
          <t>Q2</t>
        </is>
      </c>
      <c r="E229" s="2" t="inlineStr">
        <is>
          <t>Core Platform</t>
        </is>
      </c>
      <c r="F229" s="3" t="n">
        <v>34064</v>
      </c>
      <c r="G229" s="2" t="inlineStr">
        <is>
          <t>N</t>
        </is>
      </c>
    </row>
    <row r="230">
      <c r="A230" s="2" t="inlineStr">
        <is>
          <t>D-0229</t>
        </is>
      </c>
      <c r="B230" s="2" t="inlineStr">
        <is>
          <t>Aisha Khan</t>
        </is>
      </c>
      <c r="C230" s="2" t="inlineStr">
        <is>
          <t>Central</t>
        </is>
      </c>
      <c r="D230" s="2" t="inlineStr">
        <is>
          <t>Q2</t>
        </is>
      </c>
      <c r="E230" s="2" t="inlineStr">
        <is>
          <t>Enterprise Suite</t>
        </is>
      </c>
      <c r="F230" s="3" t="n">
        <v>87719</v>
      </c>
      <c r="G230" s="2" t="inlineStr">
        <is>
          <t>Y</t>
        </is>
      </c>
    </row>
    <row r="231">
      <c r="A231" s="2" t="inlineStr">
        <is>
          <t>D-0230</t>
        </is>
      </c>
      <c r="B231" s="2" t="inlineStr">
        <is>
          <t>Aisha Khan</t>
        </is>
      </c>
      <c r="C231" s="2" t="inlineStr">
        <is>
          <t>Central</t>
        </is>
      </c>
      <c r="D231" s="2" t="inlineStr">
        <is>
          <t>Q2</t>
        </is>
      </c>
      <c r="E231" s="2" t="inlineStr">
        <is>
          <t>Core Platform</t>
        </is>
      </c>
      <c r="F231" s="3" t="n">
        <v>11550</v>
      </c>
      <c r="G231" s="2" t="inlineStr">
        <is>
          <t>N</t>
        </is>
      </c>
    </row>
    <row r="232">
      <c r="A232" s="2" t="inlineStr">
        <is>
          <t>D-0231</t>
        </is>
      </c>
      <c r="B232" s="2" t="inlineStr">
        <is>
          <t>Aisha Khan</t>
        </is>
      </c>
      <c r="C232" s="2" t="inlineStr">
        <is>
          <t>Central</t>
        </is>
      </c>
      <c r="D232" s="2" t="inlineStr">
        <is>
          <t>Q2</t>
        </is>
      </c>
      <c r="E232" s="2" t="inlineStr">
        <is>
          <t>Add-on Services</t>
        </is>
      </c>
      <c r="F232" s="3" t="n">
        <v>6286</v>
      </c>
      <c r="G232" s="2" t="inlineStr">
        <is>
          <t>N</t>
        </is>
      </c>
    </row>
    <row r="233">
      <c r="A233" s="2" t="inlineStr">
        <is>
          <t>D-0232</t>
        </is>
      </c>
      <c r="B233" s="2" t="inlineStr">
        <is>
          <t>Aisha Khan</t>
        </is>
      </c>
      <c r="C233" s="2" t="inlineStr">
        <is>
          <t>Central</t>
        </is>
      </c>
      <c r="D233" s="2" t="inlineStr">
        <is>
          <t>Q2</t>
        </is>
      </c>
      <c r="E233" s="2" t="inlineStr">
        <is>
          <t>Core Platform</t>
        </is>
      </c>
      <c r="F233" s="3" t="n">
        <v>21199</v>
      </c>
      <c r="G233" s="2" t="inlineStr">
        <is>
          <t>N</t>
        </is>
      </c>
    </row>
    <row r="234">
      <c r="A234" s="2" t="inlineStr">
        <is>
          <t>D-0233</t>
        </is>
      </c>
      <c r="B234" s="2" t="inlineStr">
        <is>
          <t>Aisha Khan</t>
        </is>
      </c>
      <c r="C234" s="2" t="inlineStr">
        <is>
          <t>Central</t>
        </is>
      </c>
      <c r="D234" s="2" t="inlineStr">
        <is>
          <t>Q2</t>
        </is>
      </c>
      <c r="E234" s="2" t="inlineStr">
        <is>
          <t>Core Platform</t>
        </is>
      </c>
      <c r="F234" s="3" t="n">
        <v>29386</v>
      </c>
      <c r="G234" s="2" t="inlineStr">
        <is>
          <t>N</t>
        </is>
      </c>
    </row>
    <row r="235">
      <c r="A235" s="2" t="inlineStr">
        <is>
          <t>D-0234</t>
        </is>
      </c>
      <c r="B235" s="2" t="inlineStr">
        <is>
          <t>Aisha Khan</t>
        </is>
      </c>
      <c r="C235" s="2" t="inlineStr">
        <is>
          <t>Central</t>
        </is>
      </c>
      <c r="D235" s="2" t="inlineStr">
        <is>
          <t>Q2</t>
        </is>
      </c>
      <c r="E235" s="2" t="inlineStr">
        <is>
          <t>Add-on Services</t>
        </is>
      </c>
      <c r="F235" s="3" t="n">
        <v>12573</v>
      </c>
      <c r="G235" s="2" t="inlineStr">
        <is>
          <t>N</t>
        </is>
      </c>
    </row>
    <row r="236">
      <c r="A236" s="2" t="inlineStr">
        <is>
          <t>D-0235</t>
        </is>
      </c>
      <c r="B236" s="2" t="inlineStr">
        <is>
          <t>Aisha Khan</t>
        </is>
      </c>
      <c r="C236" s="2" t="inlineStr">
        <is>
          <t>Central</t>
        </is>
      </c>
      <c r="D236" s="2" t="inlineStr">
        <is>
          <t>Q2</t>
        </is>
      </c>
      <c r="E236" s="2" t="inlineStr">
        <is>
          <t>Add-on Services</t>
        </is>
      </c>
      <c r="F236" s="3" t="n">
        <v>11842</v>
      </c>
      <c r="G236" s="2" t="inlineStr">
        <is>
          <t>N</t>
        </is>
      </c>
    </row>
    <row r="237">
      <c r="A237" s="2" t="inlineStr">
        <is>
          <t>D-0236</t>
        </is>
      </c>
      <c r="B237" s="2" t="inlineStr">
        <is>
          <t>Aisha Khan</t>
        </is>
      </c>
      <c r="C237" s="2" t="inlineStr">
        <is>
          <t>Central</t>
        </is>
      </c>
      <c r="D237" s="2" t="inlineStr">
        <is>
          <t>Q2</t>
        </is>
      </c>
      <c r="E237" s="2" t="inlineStr">
        <is>
          <t>Core Platform</t>
        </is>
      </c>
      <c r="F237" s="3" t="n">
        <v>13450</v>
      </c>
      <c r="G237" s="2" t="inlineStr">
        <is>
          <t>Y</t>
        </is>
      </c>
    </row>
    <row r="238">
      <c r="A238" s="2" t="inlineStr">
        <is>
          <t>D-0237</t>
        </is>
      </c>
      <c r="B238" s="2" t="inlineStr">
        <is>
          <t>Aisha Khan</t>
        </is>
      </c>
      <c r="C238" s="2" t="inlineStr">
        <is>
          <t>Central</t>
        </is>
      </c>
      <c r="D238" s="2" t="inlineStr">
        <is>
          <t>Q2</t>
        </is>
      </c>
      <c r="E238" s="2" t="inlineStr">
        <is>
          <t>Add-on Services</t>
        </is>
      </c>
      <c r="F238" s="3" t="n">
        <v>6725</v>
      </c>
      <c r="G238" s="2" t="inlineStr">
        <is>
          <t>Y</t>
        </is>
      </c>
    </row>
    <row r="239">
      <c r="A239" s="2" t="inlineStr">
        <is>
          <t>D-0238</t>
        </is>
      </c>
      <c r="B239" s="2" t="inlineStr">
        <is>
          <t>Aisha Khan</t>
        </is>
      </c>
      <c r="C239" s="2" t="inlineStr">
        <is>
          <t>Central</t>
        </is>
      </c>
      <c r="D239" s="2" t="inlineStr">
        <is>
          <t>Q2</t>
        </is>
      </c>
      <c r="E239" s="2" t="inlineStr">
        <is>
          <t>Core Platform</t>
        </is>
      </c>
      <c r="F239" s="3" t="n">
        <v>39181</v>
      </c>
      <c r="G239" s="2" t="inlineStr">
        <is>
          <t>Y</t>
        </is>
      </c>
    </row>
    <row r="240">
      <c r="A240" s="2" t="inlineStr">
        <is>
          <t>D-0239</t>
        </is>
      </c>
      <c r="B240" s="2" t="inlineStr">
        <is>
          <t>Aisha Khan</t>
        </is>
      </c>
      <c r="C240" s="2" t="inlineStr">
        <is>
          <t>Central</t>
        </is>
      </c>
      <c r="D240" s="2" t="inlineStr">
        <is>
          <t>Q2</t>
        </is>
      </c>
      <c r="E240" s="2" t="inlineStr">
        <is>
          <t>Core Platform</t>
        </is>
      </c>
      <c r="F240" s="3" t="n">
        <v>7017</v>
      </c>
      <c r="G240" s="2" t="inlineStr">
        <is>
          <t>N</t>
        </is>
      </c>
    </row>
    <row r="241">
      <c r="A241" s="2" t="inlineStr">
        <is>
          <t>D-0240</t>
        </is>
      </c>
      <c r="B241" s="2" t="inlineStr">
        <is>
          <t>Aisha Khan</t>
        </is>
      </c>
      <c r="C241" s="2" t="inlineStr">
        <is>
          <t>Central</t>
        </is>
      </c>
      <c r="D241" s="2" t="inlineStr">
        <is>
          <t>Q3</t>
        </is>
      </c>
      <c r="E241" s="2" t="inlineStr">
        <is>
          <t>Enterprise Suite</t>
        </is>
      </c>
      <c r="F241" s="3" t="n">
        <v>69180</v>
      </c>
      <c r="G241" s="2" t="inlineStr">
        <is>
          <t>Y</t>
        </is>
      </c>
    </row>
    <row r="242">
      <c r="A242" s="2" t="inlineStr">
        <is>
          <t>D-0241</t>
        </is>
      </c>
      <c r="B242" s="2" t="inlineStr">
        <is>
          <t>Aisha Khan</t>
        </is>
      </c>
      <c r="C242" s="2" t="inlineStr">
        <is>
          <t>Central</t>
        </is>
      </c>
      <c r="D242" s="2" t="inlineStr">
        <is>
          <t>Q3</t>
        </is>
      </c>
      <c r="E242" s="2" t="inlineStr">
        <is>
          <t>Core Platform</t>
        </is>
      </c>
      <c r="F242" s="3" t="n">
        <v>20226</v>
      </c>
      <c r="G242" s="2" t="inlineStr">
        <is>
          <t>Y</t>
        </is>
      </c>
    </row>
    <row r="243">
      <c r="A243" s="2" t="inlineStr">
        <is>
          <t>D-0242</t>
        </is>
      </c>
      <c r="B243" s="2" t="inlineStr">
        <is>
          <t>Aisha Khan</t>
        </is>
      </c>
      <c r="C243" s="2" t="inlineStr">
        <is>
          <t>Central</t>
        </is>
      </c>
      <c r="D243" s="2" t="inlineStr">
        <is>
          <t>Q3</t>
        </is>
      </c>
      <c r="E243" s="2" t="inlineStr">
        <is>
          <t>Core Platform</t>
        </is>
      </c>
      <c r="F243" s="3" t="n">
        <v>8245</v>
      </c>
      <c r="G243" s="2" t="inlineStr">
        <is>
          <t>N</t>
        </is>
      </c>
    </row>
    <row r="244">
      <c r="A244" s="2" t="inlineStr">
        <is>
          <t>D-0243</t>
        </is>
      </c>
      <c r="B244" s="2" t="inlineStr">
        <is>
          <t>Aisha Khan</t>
        </is>
      </c>
      <c r="C244" s="2" t="inlineStr">
        <is>
          <t>Central</t>
        </is>
      </c>
      <c r="D244" s="2" t="inlineStr">
        <is>
          <t>Q3</t>
        </is>
      </c>
      <c r="E244" s="2" t="inlineStr">
        <is>
          <t>Core Platform</t>
        </is>
      </c>
      <c r="F244" s="3" t="n">
        <v>18293</v>
      </c>
      <c r="G244" s="2" t="inlineStr">
        <is>
          <t>N</t>
        </is>
      </c>
    </row>
    <row r="245">
      <c r="A245" s="2" t="inlineStr">
        <is>
          <t>D-0244</t>
        </is>
      </c>
      <c r="B245" s="2" t="inlineStr">
        <is>
          <t>Aisha Khan</t>
        </is>
      </c>
      <c r="C245" s="2" t="inlineStr">
        <is>
          <t>Central</t>
        </is>
      </c>
      <c r="D245" s="2" t="inlineStr">
        <is>
          <t>Q3</t>
        </is>
      </c>
      <c r="E245" s="2" t="inlineStr">
        <is>
          <t>Core Platform</t>
        </is>
      </c>
      <c r="F245" s="3" t="n">
        <v>17005</v>
      </c>
      <c r="G245" s="2" t="inlineStr">
        <is>
          <t>N</t>
        </is>
      </c>
    </row>
    <row r="246">
      <c r="A246" s="2" t="inlineStr">
        <is>
          <t>D-0245</t>
        </is>
      </c>
      <c r="B246" s="2" t="inlineStr">
        <is>
          <t>Aisha Khan</t>
        </is>
      </c>
      <c r="C246" s="2" t="inlineStr">
        <is>
          <t>Central</t>
        </is>
      </c>
      <c r="D246" s="2" t="inlineStr">
        <is>
          <t>Q3</t>
        </is>
      </c>
      <c r="E246" s="2" t="inlineStr">
        <is>
          <t>Core Platform</t>
        </is>
      </c>
      <c r="F246" s="3" t="n">
        <v>11337</v>
      </c>
      <c r="G246" s="2" t="inlineStr">
        <is>
          <t>N</t>
        </is>
      </c>
    </row>
    <row r="247">
      <c r="A247" s="2" t="inlineStr">
        <is>
          <t>D-0246</t>
        </is>
      </c>
      <c r="B247" s="2" t="inlineStr">
        <is>
          <t>Aisha Khan</t>
        </is>
      </c>
      <c r="C247" s="2" t="inlineStr">
        <is>
          <t>Central</t>
        </is>
      </c>
      <c r="D247" s="2" t="inlineStr">
        <is>
          <t>Q3</t>
        </is>
      </c>
      <c r="E247" s="2" t="inlineStr">
        <is>
          <t>Core Platform</t>
        </is>
      </c>
      <c r="F247" s="3" t="n">
        <v>20483</v>
      </c>
      <c r="G247" s="2" t="inlineStr">
        <is>
          <t>N</t>
        </is>
      </c>
    </row>
    <row r="248">
      <c r="A248" s="2" t="inlineStr">
        <is>
          <t>D-0247</t>
        </is>
      </c>
      <c r="B248" s="2" t="inlineStr">
        <is>
          <t>Aisha Khan</t>
        </is>
      </c>
      <c r="C248" s="2" t="inlineStr">
        <is>
          <t>Central</t>
        </is>
      </c>
      <c r="D248" s="2" t="inlineStr">
        <is>
          <t>Q3</t>
        </is>
      </c>
      <c r="E248" s="2" t="inlineStr">
        <is>
          <t>Core Platform</t>
        </is>
      </c>
      <c r="F248" s="3" t="n">
        <v>22673</v>
      </c>
      <c r="G248" s="2" t="inlineStr">
        <is>
          <t>Y</t>
        </is>
      </c>
    </row>
    <row r="249">
      <c r="A249" s="2" t="inlineStr">
        <is>
          <t>D-0248</t>
        </is>
      </c>
      <c r="B249" s="2" t="inlineStr">
        <is>
          <t>Aisha Khan</t>
        </is>
      </c>
      <c r="C249" s="2" t="inlineStr">
        <is>
          <t>Central</t>
        </is>
      </c>
      <c r="D249" s="2" t="inlineStr">
        <is>
          <t>Q3</t>
        </is>
      </c>
      <c r="E249" s="2" t="inlineStr">
        <is>
          <t>Add-on Services</t>
        </is>
      </c>
      <c r="F249" s="3" t="n">
        <v>17263</v>
      </c>
      <c r="G249" s="2" t="inlineStr">
        <is>
          <t>N</t>
        </is>
      </c>
    </row>
    <row r="250">
      <c r="A250" s="2" t="inlineStr">
        <is>
          <t>D-0249</t>
        </is>
      </c>
      <c r="B250" s="2" t="inlineStr">
        <is>
          <t>Aisha Khan</t>
        </is>
      </c>
      <c r="C250" s="2" t="inlineStr">
        <is>
          <t>Central</t>
        </is>
      </c>
      <c r="D250" s="2" t="inlineStr">
        <is>
          <t>Q3</t>
        </is>
      </c>
      <c r="E250" s="2" t="inlineStr">
        <is>
          <t>Enterprise Suite</t>
        </is>
      </c>
      <c r="F250" s="3" t="n">
        <v>99454</v>
      </c>
      <c r="G250" s="2" t="inlineStr">
        <is>
          <t>Y</t>
        </is>
      </c>
    </row>
    <row r="251">
      <c r="A251" s="2" t="inlineStr">
        <is>
          <t>D-0250</t>
        </is>
      </c>
      <c r="B251" s="2" t="inlineStr">
        <is>
          <t>Aisha Khan</t>
        </is>
      </c>
      <c r="C251" s="2" t="inlineStr">
        <is>
          <t>Central</t>
        </is>
      </c>
      <c r="D251" s="2" t="inlineStr">
        <is>
          <t>Q4</t>
        </is>
      </c>
      <c r="E251" s="2" t="inlineStr">
        <is>
          <t>Core Platform</t>
        </is>
      </c>
      <c r="F251" s="3" t="n">
        <v>11203</v>
      </c>
      <c r="G251" s="2" t="inlineStr">
        <is>
          <t>Y</t>
        </is>
      </c>
    </row>
    <row r="252">
      <c r="A252" s="2" t="inlineStr">
        <is>
          <t>D-0251</t>
        </is>
      </c>
      <c r="B252" s="2" t="inlineStr">
        <is>
          <t>Aisha Khan</t>
        </is>
      </c>
      <c r="C252" s="2" t="inlineStr">
        <is>
          <t>Central</t>
        </is>
      </c>
      <c r="D252" s="2" t="inlineStr">
        <is>
          <t>Q4</t>
        </is>
      </c>
      <c r="E252" s="2" t="inlineStr">
        <is>
          <t>Core Platform</t>
        </is>
      </c>
      <c r="F252" s="3" t="n">
        <v>7672</v>
      </c>
      <c r="G252" s="2" t="inlineStr">
        <is>
          <t>N</t>
        </is>
      </c>
    </row>
    <row r="253">
      <c r="A253" s="2" t="inlineStr">
        <is>
          <t>D-0252</t>
        </is>
      </c>
      <c r="B253" s="2" t="inlineStr">
        <is>
          <t>Aisha Khan</t>
        </is>
      </c>
      <c r="C253" s="2" t="inlineStr">
        <is>
          <t>Central</t>
        </is>
      </c>
      <c r="D253" s="2" t="inlineStr">
        <is>
          <t>Q4</t>
        </is>
      </c>
      <c r="E253" s="2" t="inlineStr">
        <is>
          <t>Core Platform</t>
        </is>
      </c>
      <c r="F253" s="3" t="n">
        <v>16196</v>
      </c>
      <c r="G253" s="2" t="inlineStr">
        <is>
          <t>N</t>
        </is>
      </c>
    </row>
    <row r="254">
      <c r="A254" s="2" t="inlineStr">
        <is>
          <t>D-0253</t>
        </is>
      </c>
      <c r="B254" s="2" t="inlineStr">
        <is>
          <t>Aisha Khan</t>
        </is>
      </c>
      <c r="C254" s="2" t="inlineStr">
        <is>
          <t>Central</t>
        </is>
      </c>
      <c r="D254" s="2" t="inlineStr">
        <is>
          <t>Q4</t>
        </is>
      </c>
      <c r="E254" s="2" t="inlineStr">
        <is>
          <t>Core Platform</t>
        </is>
      </c>
      <c r="F254" s="3" t="n">
        <v>47735</v>
      </c>
      <c r="G254" s="2" t="inlineStr">
        <is>
          <t>N</t>
        </is>
      </c>
    </row>
    <row r="255">
      <c r="A255" s="2" t="inlineStr">
        <is>
          <t>D-0254</t>
        </is>
      </c>
      <c r="B255" s="2" t="inlineStr">
        <is>
          <t>Aisha Khan</t>
        </is>
      </c>
      <c r="C255" s="2" t="inlineStr">
        <is>
          <t>Central</t>
        </is>
      </c>
      <c r="D255" s="2" t="inlineStr">
        <is>
          <t>Q4</t>
        </is>
      </c>
      <c r="E255" s="2" t="inlineStr">
        <is>
          <t>Add-on Services</t>
        </is>
      </c>
      <c r="F255" s="3" t="n">
        <v>5480</v>
      </c>
      <c r="G255" s="2" t="inlineStr">
        <is>
          <t>Y</t>
        </is>
      </c>
    </row>
    <row r="256">
      <c r="A256" s="2" t="inlineStr">
        <is>
          <t>D-0255</t>
        </is>
      </c>
      <c r="B256" s="2" t="inlineStr">
        <is>
          <t>Aisha Khan</t>
        </is>
      </c>
      <c r="C256" s="2" t="inlineStr">
        <is>
          <t>Central</t>
        </is>
      </c>
      <c r="D256" s="2" t="inlineStr">
        <is>
          <t>Q4</t>
        </is>
      </c>
      <c r="E256" s="2" t="inlineStr">
        <is>
          <t>Core Platform</t>
        </is>
      </c>
      <c r="F256" s="3" t="n">
        <v>21919</v>
      </c>
      <c r="G256" s="2" t="inlineStr">
        <is>
          <t>N</t>
        </is>
      </c>
    </row>
    <row r="257">
      <c r="A257" s="2" t="inlineStr">
        <is>
          <t>D-0256</t>
        </is>
      </c>
      <c r="B257" s="2" t="inlineStr">
        <is>
          <t>Aisha Khan</t>
        </is>
      </c>
      <c r="C257" s="2" t="inlineStr">
        <is>
          <t>Central</t>
        </is>
      </c>
      <c r="D257" s="2" t="inlineStr">
        <is>
          <t>Q4</t>
        </is>
      </c>
      <c r="E257" s="2" t="inlineStr">
        <is>
          <t>Enterprise Suite</t>
        </is>
      </c>
      <c r="F257" s="3" t="n">
        <v>65514</v>
      </c>
      <c r="G257" s="2" t="inlineStr">
        <is>
          <t>N</t>
        </is>
      </c>
    </row>
    <row r="258">
      <c r="A258" s="2" t="inlineStr">
        <is>
          <t>D-0257</t>
        </is>
      </c>
      <c r="B258" s="2" t="inlineStr">
        <is>
          <t>Aisha Khan</t>
        </is>
      </c>
      <c r="C258" s="2" t="inlineStr">
        <is>
          <t>Central</t>
        </is>
      </c>
      <c r="D258" s="2" t="inlineStr">
        <is>
          <t>Q4</t>
        </is>
      </c>
      <c r="E258" s="2" t="inlineStr">
        <is>
          <t>Add-on Services</t>
        </is>
      </c>
      <c r="F258" s="3" t="n">
        <v>3897</v>
      </c>
      <c r="G258" s="2" t="inlineStr">
        <is>
          <t>N</t>
        </is>
      </c>
    </row>
    <row r="259">
      <c r="A259" s="2" t="inlineStr">
        <is>
          <t>D-0258</t>
        </is>
      </c>
      <c r="B259" s="2" t="inlineStr">
        <is>
          <t>Aisha Khan</t>
        </is>
      </c>
      <c r="C259" s="2" t="inlineStr">
        <is>
          <t>Central</t>
        </is>
      </c>
      <c r="D259" s="2" t="inlineStr">
        <is>
          <t>Q4</t>
        </is>
      </c>
      <c r="E259" s="2" t="inlineStr">
        <is>
          <t>Enterprise Suite</t>
        </is>
      </c>
      <c r="F259" s="3" t="n">
        <v>94131</v>
      </c>
      <c r="G259" s="2" t="inlineStr">
        <is>
          <t>Y</t>
        </is>
      </c>
    </row>
    <row r="260">
      <c r="A260" s="2" t="inlineStr">
        <is>
          <t>D-0259</t>
        </is>
      </c>
      <c r="B260" s="2" t="inlineStr">
        <is>
          <t>Aisha Khan</t>
        </is>
      </c>
      <c r="C260" s="2" t="inlineStr">
        <is>
          <t>Central</t>
        </is>
      </c>
      <c r="D260" s="2" t="inlineStr">
        <is>
          <t>Q4</t>
        </is>
      </c>
      <c r="E260" s="2" t="inlineStr">
        <is>
          <t>Add-on Services</t>
        </is>
      </c>
      <c r="F260" s="3" t="n">
        <v>8402</v>
      </c>
      <c r="G260" s="2" t="inlineStr">
        <is>
          <t>N</t>
        </is>
      </c>
    </row>
    <row r="261">
      <c r="A261" s="2" t="inlineStr">
        <is>
          <t>D-0260</t>
        </is>
      </c>
      <c r="B261" s="2" t="inlineStr">
        <is>
          <t>Daniel Okafor</t>
        </is>
      </c>
      <c r="C261" s="2" t="inlineStr">
        <is>
          <t>East</t>
        </is>
      </c>
      <c r="D261" s="2" t="inlineStr">
        <is>
          <t>Q1</t>
        </is>
      </c>
      <c r="E261" s="2" t="inlineStr">
        <is>
          <t>Add-on Services</t>
        </is>
      </c>
      <c r="F261" s="3" t="n">
        <v>9278</v>
      </c>
      <c r="G261" s="2" t="inlineStr">
        <is>
          <t>N</t>
        </is>
      </c>
    </row>
    <row r="262">
      <c r="A262" s="2" t="inlineStr">
        <is>
          <t>D-0261</t>
        </is>
      </c>
      <c r="B262" s="2" t="inlineStr">
        <is>
          <t>Daniel Okafor</t>
        </is>
      </c>
      <c r="C262" s="2" t="inlineStr">
        <is>
          <t>East</t>
        </is>
      </c>
      <c r="D262" s="2" t="inlineStr">
        <is>
          <t>Q1</t>
        </is>
      </c>
      <c r="E262" s="2" t="inlineStr">
        <is>
          <t>Core Platform</t>
        </is>
      </c>
      <c r="F262" s="3" t="n">
        <v>18928</v>
      </c>
      <c r="G262" s="2" t="inlineStr">
        <is>
          <t>N</t>
        </is>
      </c>
    </row>
    <row r="263">
      <c r="A263" s="2" t="inlineStr">
        <is>
          <t>D-0262</t>
        </is>
      </c>
      <c r="B263" s="2" t="inlineStr">
        <is>
          <t>Daniel Okafor</t>
        </is>
      </c>
      <c r="C263" s="2" t="inlineStr">
        <is>
          <t>East</t>
        </is>
      </c>
      <c r="D263" s="2" t="inlineStr">
        <is>
          <t>Q1</t>
        </is>
      </c>
      <c r="E263" s="2" t="inlineStr">
        <is>
          <t>Add-on Services</t>
        </is>
      </c>
      <c r="F263" s="3" t="n">
        <v>5815</v>
      </c>
      <c r="G263" s="2" t="inlineStr">
        <is>
          <t>N</t>
        </is>
      </c>
    </row>
    <row r="264">
      <c r="A264" s="2" t="inlineStr">
        <is>
          <t>D-0263</t>
        </is>
      </c>
      <c r="B264" s="2" t="inlineStr">
        <is>
          <t>Daniel Okafor</t>
        </is>
      </c>
      <c r="C264" s="2" t="inlineStr">
        <is>
          <t>East</t>
        </is>
      </c>
      <c r="D264" s="2" t="inlineStr">
        <is>
          <t>Q1</t>
        </is>
      </c>
      <c r="E264" s="2" t="inlineStr">
        <is>
          <t>Enterprise Suite</t>
        </is>
      </c>
      <c r="F264" s="3" t="n">
        <v>49362</v>
      </c>
      <c r="G264" s="2" t="inlineStr">
        <is>
          <t>N</t>
        </is>
      </c>
    </row>
    <row r="265">
      <c r="A265" s="2" t="inlineStr">
        <is>
          <t>D-0264</t>
        </is>
      </c>
      <c r="B265" s="2" t="inlineStr">
        <is>
          <t>Daniel Okafor</t>
        </is>
      </c>
      <c r="C265" s="2" t="inlineStr">
        <is>
          <t>East</t>
        </is>
      </c>
      <c r="D265" s="2" t="inlineStr">
        <is>
          <t>Q1</t>
        </is>
      </c>
      <c r="E265" s="2" t="inlineStr">
        <is>
          <t>Core Platform</t>
        </is>
      </c>
      <c r="F265" s="3" t="n">
        <v>26351</v>
      </c>
      <c r="G265" s="2" t="inlineStr">
        <is>
          <t>N</t>
        </is>
      </c>
    </row>
    <row r="266">
      <c r="A266" s="2" t="inlineStr">
        <is>
          <t>D-0265</t>
        </is>
      </c>
      <c r="B266" s="2" t="inlineStr">
        <is>
          <t>Daniel Okafor</t>
        </is>
      </c>
      <c r="C266" s="2" t="inlineStr">
        <is>
          <t>East</t>
        </is>
      </c>
      <c r="D266" s="2" t="inlineStr">
        <is>
          <t>Q1</t>
        </is>
      </c>
      <c r="E266" s="2" t="inlineStr">
        <is>
          <t>Add-on Services</t>
        </is>
      </c>
      <c r="F266" s="3" t="n">
        <v>7423</v>
      </c>
      <c r="G266" s="2" t="inlineStr">
        <is>
          <t>N</t>
        </is>
      </c>
    </row>
    <row r="267">
      <c r="A267" s="2" t="inlineStr">
        <is>
          <t>D-0266</t>
        </is>
      </c>
      <c r="B267" s="2" t="inlineStr">
        <is>
          <t>Daniel Okafor</t>
        </is>
      </c>
      <c r="C267" s="2" t="inlineStr">
        <is>
          <t>East</t>
        </is>
      </c>
      <c r="D267" s="2" t="inlineStr">
        <is>
          <t>Q1</t>
        </is>
      </c>
      <c r="E267" s="2" t="inlineStr">
        <is>
          <t>Core Platform</t>
        </is>
      </c>
      <c r="F267" s="3" t="n">
        <v>13361</v>
      </c>
      <c r="G267" s="2" t="inlineStr">
        <is>
          <t>N</t>
        </is>
      </c>
    </row>
    <row r="268">
      <c r="A268" s="2" t="inlineStr">
        <is>
          <t>D-0267</t>
        </is>
      </c>
      <c r="B268" s="2" t="inlineStr">
        <is>
          <t>Daniel Okafor</t>
        </is>
      </c>
      <c r="C268" s="2" t="inlineStr">
        <is>
          <t>East</t>
        </is>
      </c>
      <c r="D268" s="2" t="inlineStr">
        <is>
          <t>Q1</t>
        </is>
      </c>
      <c r="E268" s="2" t="inlineStr">
        <is>
          <t>Enterprise Suite</t>
        </is>
      </c>
      <c r="F268" s="3" t="n">
        <v>40702</v>
      </c>
      <c r="G268" s="2" t="inlineStr">
        <is>
          <t>N</t>
        </is>
      </c>
    </row>
    <row r="269">
      <c r="A269" s="2" t="inlineStr">
        <is>
          <t>D-0268</t>
        </is>
      </c>
      <c r="B269" s="2" t="inlineStr">
        <is>
          <t>Daniel Okafor</t>
        </is>
      </c>
      <c r="C269" s="2" t="inlineStr">
        <is>
          <t>East</t>
        </is>
      </c>
      <c r="D269" s="2" t="inlineStr">
        <is>
          <t>Q1</t>
        </is>
      </c>
      <c r="E269" s="2" t="inlineStr">
        <is>
          <t>Core Platform</t>
        </is>
      </c>
      <c r="F269" s="3" t="n">
        <v>12990</v>
      </c>
      <c r="G269" s="2" t="inlineStr">
        <is>
          <t>N</t>
        </is>
      </c>
    </row>
    <row r="270">
      <c r="A270" s="2" t="inlineStr">
        <is>
          <t>D-0269</t>
        </is>
      </c>
      <c r="B270" s="2" t="inlineStr">
        <is>
          <t>Daniel Okafor</t>
        </is>
      </c>
      <c r="C270" s="2" t="inlineStr">
        <is>
          <t>East</t>
        </is>
      </c>
      <c r="D270" s="2" t="inlineStr">
        <is>
          <t>Q1</t>
        </is>
      </c>
      <c r="E270" s="2" t="inlineStr">
        <is>
          <t>Enterprise Suite</t>
        </is>
      </c>
      <c r="F270" s="3" t="n">
        <v>147466</v>
      </c>
      <c r="G270" s="2" t="inlineStr">
        <is>
          <t>N</t>
        </is>
      </c>
    </row>
    <row r="271">
      <c r="A271" s="2" t="inlineStr">
        <is>
          <t>D-0270</t>
        </is>
      </c>
      <c r="B271" s="2" t="inlineStr">
        <is>
          <t>Daniel Okafor</t>
        </is>
      </c>
      <c r="C271" s="2" t="inlineStr">
        <is>
          <t>East</t>
        </is>
      </c>
      <c r="D271" s="2" t="inlineStr">
        <is>
          <t>Q1</t>
        </is>
      </c>
      <c r="E271" s="2" t="inlineStr">
        <is>
          <t>Core Platform</t>
        </is>
      </c>
      <c r="F271" s="3" t="n">
        <v>7052</v>
      </c>
      <c r="G271" s="2" t="inlineStr">
        <is>
          <t>N</t>
        </is>
      </c>
    </row>
    <row r="272">
      <c r="A272" s="2" t="inlineStr">
        <is>
          <t>D-0271</t>
        </is>
      </c>
      <c r="B272" s="2" t="inlineStr">
        <is>
          <t>Daniel Okafor</t>
        </is>
      </c>
      <c r="C272" s="2" t="inlineStr">
        <is>
          <t>East</t>
        </is>
      </c>
      <c r="D272" s="2" t="inlineStr">
        <is>
          <t>Q1</t>
        </is>
      </c>
      <c r="E272" s="2" t="inlineStr">
        <is>
          <t>Enterprise Suite</t>
        </is>
      </c>
      <c r="F272" s="3" t="n">
        <v>46640</v>
      </c>
      <c r="G272" s="2" t="inlineStr">
        <is>
          <t>N</t>
        </is>
      </c>
    </row>
    <row r="273">
      <c r="A273" s="2" t="inlineStr">
        <is>
          <t>D-0272</t>
        </is>
      </c>
      <c r="B273" s="2" t="inlineStr">
        <is>
          <t>Daniel Okafor</t>
        </is>
      </c>
      <c r="C273" s="2" t="inlineStr">
        <is>
          <t>East</t>
        </is>
      </c>
      <c r="D273" s="2" t="inlineStr">
        <is>
          <t>Q1</t>
        </is>
      </c>
      <c r="E273" s="2" t="inlineStr">
        <is>
          <t>Core Platform</t>
        </is>
      </c>
      <c r="F273" s="3" t="n">
        <v>20165</v>
      </c>
      <c r="G273" s="2" t="inlineStr">
        <is>
          <t>Y</t>
        </is>
      </c>
    </row>
    <row r="274">
      <c r="A274" s="2" t="inlineStr">
        <is>
          <t>D-0273</t>
        </is>
      </c>
      <c r="B274" s="2" t="inlineStr">
        <is>
          <t>Daniel Okafor</t>
        </is>
      </c>
      <c r="C274" s="2" t="inlineStr">
        <is>
          <t>East</t>
        </is>
      </c>
      <c r="D274" s="2" t="inlineStr">
        <is>
          <t>Q1</t>
        </is>
      </c>
      <c r="E274" s="2" t="inlineStr">
        <is>
          <t>Enterprise Suite</t>
        </is>
      </c>
      <c r="F274" s="3" t="n">
        <v>123837</v>
      </c>
      <c r="G274" s="2" t="inlineStr">
        <is>
          <t>Y</t>
        </is>
      </c>
    </row>
    <row r="275">
      <c r="A275" s="2" t="inlineStr">
        <is>
          <t>D-0274</t>
        </is>
      </c>
      <c r="B275" s="2" t="inlineStr">
        <is>
          <t>Daniel Okafor</t>
        </is>
      </c>
      <c r="C275" s="2" t="inlineStr">
        <is>
          <t>East</t>
        </is>
      </c>
      <c r="D275" s="2" t="inlineStr">
        <is>
          <t>Q2</t>
        </is>
      </c>
      <c r="E275" s="2" t="inlineStr">
        <is>
          <t>Core Platform</t>
        </is>
      </c>
      <c r="F275" s="3" t="n">
        <v>17992</v>
      </c>
      <c r="G275" s="2" t="inlineStr">
        <is>
          <t>N</t>
        </is>
      </c>
    </row>
    <row r="276">
      <c r="A276" s="2" t="inlineStr">
        <is>
          <t>D-0275</t>
        </is>
      </c>
      <c r="B276" s="2" t="inlineStr">
        <is>
          <t>Daniel Okafor</t>
        </is>
      </c>
      <c r="C276" s="2" t="inlineStr">
        <is>
          <t>East</t>
        </is>
      </c>
      <c r="D276" s="2" t="inlineStr">
        <is>
          <t>Q2</t>
        </is>
      </c>
      <c r="E276" s="2" t="inlineStr">
        <is>
          <t>Core Platform</t>
        </is>
      </c>
      <c r="F276" s="3" t="n">
        <v>30180</v>
      </c>
      <c r="G276" s="2" t="inlineStr">
        <is>
          <t>N</t>
        </is>
      </c>
    </row>
    <row r="277">
      <c r="A277" s="2" t="inlineStr">
        <is>
          <t>D-0276</t>
        </is>
      </c>
      <c r="B277" s="2" t="inlineStr">
        <is>
          <t>Daniel Okafor</t>
        </is>
      </c>
      <c r="C277" s="2" t="inlineStr">
        <is>
          <t>East</t>
        </is>
      </c>
      <c r="D277" s="2" t="inlineStr">
        <is>
          <t>Q2</t>
        </is>
      </c>
      <c r="E277" s="2" t="inlineStr">
        <is>
          <t>Add-on Services</t>
        </is>
      </c>
      <c r="F277" s="3" t="n">
        <v>66455</v>
      </c>
      <c r="G277" s="2" t="inlineStr">
        <is>
          <t>N</t>
        </is>
      </c>
    </row>
    <row r="278">
      <c r="A278" s="2" t="inlineStr">
        <is>
          <t>D-0277</t>
        </is>
      </c>
      <c r="B278" s="2" t="inlineStr">
        <is>
          <t>Daniel Okafor</t>
        </is>
      </c>
      <c r="C278" s="2" t="inlineStr">
        <is>
          <t>East</t>
        </is>
      </c>
      <c r="D278" s="2" t="inlineStr">
        <is>
          <t>Q2</t>
        </is>
      </c>
      <c r="E278" s="2" t="inlineStr">
        <is>
          <t>Core Platform</t>
        </is>
      </c>
      <c r="F278" s="3" t="n">
        <v>31631</v>
      </c>
      <c r="G278" s="2" t="inlineStr">
        <is>
          <t>Y</t>
        </is>
      </c>
    </row>
    <row r="279">
      <c r="A279" s="2" t="inlineStr">
        <is>
          <t>D-0278</t>
        </is>
      </c>
      <c r="B279" s="2" t="inlineStr">
        <is>
          <t>Daniel Okafor</t>
        </is>
      </c>
      <c r="C279" s="2" t="inlineStr">
        <is>
          <t>East</t>
        </is>
      </c>
      <c r="D279" s="2" t="inlineStr">
        <is>
          <t>Q2</t>
        </is>
      </c>
      <c r="E279" s="2" t="inlineStr">
        <is>
          <t>Enterprise Suite</t>
        </is>
      </c>
      <c r="F279" s="3" t="n">
        <v>102149</v>
      </c>
      <c r="G279" s="2" t="inlineStr">
        <is>
          <t>N</t>
        </is>
      </c>
    </row>
    <row r="280">
      <c r="A280" s="2" t="inlineStr">
        <is>
          <t>D-0279</t>
        </is>
      </c>
      <c r="B280" s="2" t="inlineStr">
        <is>
          <t>Daniel Okafor</t>
        </is>
      </c>
      <c r="C280" s="2" t="inlineStr">
        <is>
          <t>East</t>
        </is>
      </c>
      <c r="D280" s="2" t="inlineStr">
        <is>
          <t>Q2</t>
        </is>
      </c>
      <c r="E280" s="2" t="inlineStr">
        <is>
          <t>Core Platform</t>
        </is>
      </c>
      <c r="F280" s="3" t="n">
        <v>53396</v>
      </c>
      <c r="G280" s="2" t="inlineStr">
        <is>
          <t>N</t>
        </is>
      </c>
    </row>
    <row r="281">
      <c r="A281" s="2" t="inlineStr">
        <is>
          <t>D-0280</t>
        </is>
      </c>
      <c r="B281" s="2" t="inlineStr">
        <is>
          <t>Daniel Okafor</t>
        </is>
      </c>
      <c r="C281" s="2" t="inlineStr">
        <is>
          <t>East</t>
        </is>
      </c>
      <c r="D281" s="2" t="inlineStr">
        <is>
          <t>Q2</t>
        </is>
      </c>
      <c r="E281" s="2" t="inlineStr">
        <is>
          <t>Enterprise Suite</t>
        </is>
      </c>
      <c r="F281" s="3" t="n">
        <v>62392</v>
      </c>
      <c r="G281" s="2" t="inlineStr">
        <is>
          <t>N</t>
        </is>
      </c>
    </row>
    <row r="282">
      <c r="A282" s="2" t="inlineStr">
        <is>
          <t>D-0281</t>
        </is>
      </c>
      <c r="B282" s="2" t="inlineStr">
        <is>
          <t>Daniel Okafor</t>
        </is>
      </c>
      <c r="C282" s="2" t="inlineStr">
        <is>
          <t>East</t>
        </is>
      </c>
      <c r="D282" s="2" t="inlineStr">
        <is>
          <t>Q2</t>
        </is>
      </c>
      <c r="E282" s="2" t="inlineStr">
        <is>
          <t>Core Platform</t>
        </is>
      </c>
      <c r="F282" s="3" t="n">
        <v>57459</v>
      </c>
      <c r="G282" s="2" t="inlineStr">
        <is>
          <t>N</t>
        </is>
      </c>
    </row>
    <row r="283">
      <c r="A283" s="2" t="inlineStr">
        <is>
          <t>D-0282</t>
        </is>
      </c>
      <c r="B283" s="2" t="inlineStr">
        <is>
          <t>Daniel Okafor</t>
        </is>
      </c>
      <c r="C283" s="2" t="inlineStr">
        <is>
          <t>East</t>
        </is>
      </c>
      <c r="D283" s="2" t="inlineStr">
        <is>
          <t>Q2</t>
        </is>
      </c>
      <c r="E283" s="2" t="inlineStr">
        <is>
          <t>Add-on Services</t>
        </is>
      </c>
      <c r="F283" s="3" t="n">
        <v>40627</v>
      </c>
      <c r="G283" s="2" t="inlineStr">
        <is>
          <t>N</t>
        </is>
      </c>
    </row>
    <row r="284">
      <c r="A284" s="2" t="inlineStr">
        <is>
          <t>D-0283</t>
        </is>
      </c>
      <c r="B284" s="2" t="inlineStr">
        <is>
          <t>Daniel Okafor</t>
        </is>
      </c>
      <c r="C284" s="2" t="inlineStr">
        <is>
          <t>East</t>
        </is>
      </c>
      <c r="D284" s="2" t="inlineStr">
        <is>
          <t>Q2</t>
        </is>
      </c>
      <c r="E284" s="2" t="inlineStr">
        <is>
          <t>Core Platform</t>
        </is>
      </c>
      <c r="F284" s="3" t="n">
        <v>27569</v>
      </c>
      <c r="G284" s="2" t="inlineStr">
        <is>
          <t>N</t>
        </is>
      </c>
    </row>
    <row r="285">
      <c r="A285" s="2" t="inlineStr">
        <is>
          <t>D-0284</t>
        </is>
      </c>
      <c r="B285" s="2" t="inlineStr">
        <is>
          <t>Daniel Okafor</t>
        </is>
      </c>
      <c r="C285" s="2" t="inlineStr">
        <is>
          <t>East</t>
        </is>
      </c>
      <c r="D285" s="2" t="inlineStr">
        <is>
          <t>Q2</t>
        </is>
      </c>
      <c r="E285" s="2" t="inlineStr">
        <is>
          <t>Add-on Services</t>
        </is>
      </c>
      <c r="F285" s="3" t="n">
        <v>11027</v>
      </c>
      <c r="G285" s="2" t="inlineStr">
        <is>
          <t>Y</t>
        </is>
      </c>
    </row>
    <row r="286">
      <c r="A286" s="2" t="inlineStr">
        <is>
          <t>D-0285</t>
        </is>
      </c>
      <c r="B286" s="2" t="inlineStr">
        <is>
          <t>Daniel Okafor</t>
        </is>
      </c>
      <c r="C286" s="2" t="inlineStr">
        <is>
          <t>East</t>
        </is>
      </c>
      <c r="D286" s="2" t="inlineStr">
        <is>
          <t>Q3</t>
        </is>
      </c>
      <c r="E286" s="2" t="inlineStr">
        <is>
          <t>Core Platform</t>
        </is>
      </c>
      <c r="F286" s="3" t="n">
        <v>14671</v>
      </c>
      <c r="G286" s="2" t="inlineStr">
        <is>
          <t>N</t>
        </is>
      </c>
    </row>
    <row r="287">
      <c r="A287" s="2" t="inlineStr">
        <is>
          <t>D-0286</t>
        </is>
      </c>
      <c r="B287" s="2" t="inlineStr">
        <is>
          <t>Daniel Okafor</t>
        </is>
      </c>
      <c r="C287" s="2" t="inlineStr">
        <is>
          <t>East</t>
        </is>
      </c>
      <c r="D287" s="2" t="inlineStr">
        <is>
          <t>Q3</t>
        </is>
      </c>
      <c r="E287" s="2" t="inlineStr">
        <is>
          <t>Core Platform</t>
        </is>
      </c>
      <c r="F287" s="3" t="n">
        <v>6680</v>
      </c>
      <c r="G287" s="2" t="inlineStr">
        <is>
          <t>Y</t>
        </is>
      </c>
    </row>
    <row r="288">
      <c r="A288" s="2" t="inlineStr">
        <is>
          <t>D-0287</t>
        </is>
      </c>
      <c r="B288" s="2" t="inlineStr">
        <is>
          <t>Daniel Okafor</t>
        </is>
      </c>
      <c r="C288" s="2" t="inlineStr">
        <is>
          <t>East</t>
        </is>
      </c>
      <c r="D288" s="2" t="inlineStr">
        <is>
          <t>Q3</t>
        </is>
      </c>
      <c r="E288" s="2" t="inlineStr">
        <is>
          <t>Core Platform</t>
        </is>
      </c>
      <c r="F288" s="3" t="n">
        <v>33140</v>
      </c>
      <c r="G288" s="2" t="inlineStr">
        <is>
          <t>N</t>
        </is>
      </c>
    </row>
    <row r="289">
      <c r="A289" s="2" t="inlineStr">
        <is>
          <t>D-0288</t>
        </is>
      </c>
      <c r="B289" s="2" t="inlineStr">
        <is>
          <t>Daniel Okafor</t>
        </is>
      </c>
      <c r="C289" s="2" t="inlineStr">
        <is>
          <t>East</t>
        </is>
      </c>
      <c r="D289" s="2" t="inlineStr">
        <is>
          <t>Q3</t>
        </is>
      </c>
      <c r="E289" s="2" t="inlineStr">
        <is>
          <t>Core Platform</t>
        </is>
      </c>
      <c r="F289" s="3" t="n">
        <v>30913</v>
      </c>
      <c r="G289" s="2" t="inlineStr">
        <is>
          <t>N</t>
        </is>
      </c>
    </row>
    <row r="290">
      <c r="A290" s="2" t="inlineStr">
        <is>
          <t>D-0289</t>
        </is>
      </c>
      <c r="B290" s="2" t="inlineStr">
        <is>
          <t>Daniel Okafor</t>
        </is>
      </c>
      <c r="C290" s="2" t="inlineStr">
        <is>
          <t>East</t>
        </is>
      </c>
      <c r="D290" s="2" t="inlineStr">
        <is>
          <t>Q3</t>
        </is>
      </c>
      <c r="E290" s="2" t="inlineStr">
        <is>
          <t>Core Platform</t>
        </is>
      </c>
      <c r="F290" s="3" t="n">
        <v>4847</v>
      </c>
      <c r="G290" s="2" t="inlineStr">
        <is>
          <t>N</t>
        </is>
      </c>
    </row>
    <row r="291">
      <c r="A291" s="2" t="inlineStr">
        <is>
          <t>D-0290</t>
        </is>
      </c>
      <c r="B291" s="2" t="inlineStr">
        <is>
          <t>Daniel Okafor</t>
        </is>
      </c>
      <c r="C291" s="2" t="inlineStr">
        <is>
          <t>East</t>
        </is>
      </c>
      <c r="D291" s="2" t="inlineStr">
        <is>
          <t>Q3</t>
        </is>
      </c>
      <c r="E291" s="2" t="inlineStr">
        <is>
          <t>Enterprise Suite</t>
        </is>
      </c>
      <c r="F291" s="3" t="n">
        <v>22661</v>
      </c>
      <c r="G291" s="2" t="inlineStr">
        <is>
          <t>N</t>
        </is>
      </c>
    </row>
    <row r="292">
      <c r="A292" s="2" t="inlineStr">
        <is>
          <t>D-0291</t>
        </is>
      </c>
      <c r="B292" s="2" t="inlineStr">
        <is>
          <t>Daniel Okafor</t>
        </is>
      </c>
      <c r="C292" s="2" t="inlineStr">
        <is>
          <t>East</t>
        </is>
      </c>
      <c r="D292" s="2" t="inlineStr">
        <is>
          <t>Q3</t>
        </is>
      </c>
      <c r="E292" s="2" t="inlineStr">
        <is>
          <t>Core Platform</t>
        </is>
      </c>
      <c r="F292" s="3" t="n">
        <v>3930</v>
      </c>
      <c r="G292" s="2" t="inlineStr">
        <is>
          <t>N</t>
        </is>
      </c>
    </row>
    <row r="293">
      <c r="A293" s="2" t="inlineStr">
        <is>
          <t>D-0292</t>
        </is>
      </c>
      <c r="B293" s="2" t="inlineStr">
        <is>
          <t>Daniel Okafor</t>
        </is>
      </c>
      <c r="C293" s="2" t="inlineStr">
        <is>
          <t>East</t>
        </is>
      </c>
      <c r="D293" s="2" t="inlineStr">
        <is>
          <t>Q3</t>
        </is>
      </c>
      <c r="E293" s="2" t="inlineStr">
        <is>
          <t>Enterprise Suite</t>
        </is>
      </c>
      <c r="F293" s="3" t="n">
        <v>113435</v>
      </c>
      <c r="G293" s="2" t="inlineStr">
        <is>
          <t>N</t>
        </is>
      </c>
    </row>
    <row r="294">
      <c r="A294" s="2" t="inlineStr">
        <is>
          <t>D-0293</t>
        </is>
      </c>
      <c r="B294" s="2" t="inlineStr">
        <is>
          <t>Daniel Okafor</t>
        </is>
      </c>
      <c r="C294" s="2" t="inlineStr">
        <is>
          <t>East</t>
        </is>
      </c>
      <c r="D294" s="2" t="inlineStr">
        <is>
          <t>Q3</t>
        </is>
      </c>
      <c r="E294" s="2" t="inlineStr">
        <is>
          <t>Core Platform</t>
        </is>
      </c>
      <c r="F294" s="3" t="n">
        <v>11789</v>
      </c>
      <c r="G294" s="2" t="inlineStr">
        <is>
          <t>N</t>
        </is>
      </c>
    </row>
    <row r="295">
      <c r="A295" s="2" t="inlineStr">
        <is>
          <t>D-0294</t>
        </is>
      </c>
      <c r="B295" s="2" t="inlineStr">
        <is>
          <t>Daniel Okafor</t>
        </is>
      </c>
      <c r="C295" s="2" t="inlineStr">
        <is>
          <t>East</t>
        </is>
      </c>
      <c r="D295" s="2" t="inlineStr">
        <is>
          <t>Q3</t>
        </is>
      </c>
      <c r="E295" s="2" t="inlineStr">
        <is>
          <t>Core Platform</t>
        </is>
      </c>
      <c r="F295" s="3" t="n">
        <v>10872</v>
      </c>
      <c r="G295" s="2" t="inlineStr">
        <is>
          <t>N</t>
        </is>
      </c>
    </row>
    <row r="296">
      <c r="A296" s="2" t="inlineStr">
        <is>
          <t>D-0295</t>
        </is>
      </c>
      <c r="B296" s="2" t="inlineStr">
        <is>
          <t>Daniel Okafor</t>
        </is>
      </c>
      <c r="C296" s="2" t="inlineStr">
        <is>
          <t>East</t>
        </is>
      </c>
      <c r="D296" s="2" t="inlineStr">
        <is>
          <t>Q3</t>
        </is>
      </c>
      <c r="E296" s="2" t="inlineStr">
        <is>
          <t>Core Platform</t>
        </is>
      </c>
      <c r="F296" s="3" t="n">
        <v>17290</v>
      </c>
      <c r="G296" s="2" t="inlineStr">
        <is>
          <t>N</t>
        </is>
      </c>
    </row>
    <row r="297">
      <c r="A297" s="2" t="inlineStr">
        <is>
          <t>D-0296</t>
        </is>
      </c>
      <c r="B297" s="2" t="inlineStr">
        <is>
          <t>Daniel Okafor</t>
        </is>
      </c>
      <c r="C297" s="2" t="inlineStr">
        <is>
          <t>East</t>
        </is>
      </c>
      <c r="D297" s="2" t="inlineStr">
        <is>
          <t>Q3</t>
        </is>
      </c>
      <c r="E297" s="2" t="inlineStr">
        <is>
          <t>Enterprise Suite</t>
        </is>
      </c>
      <c r="F297" s="3" t="n">
        <v>54229</v>
      </c>
      <c r="G297" s="2" t="inlineStr">
        <is>
          <t>Y</t>
        </is>
      </c>
    </row>
    <row r="298">
      <c r="A298" s="2" t="inlineStr">
        <is>
          <t>D-0297</t>
        </is>
      </c>
      <c r="B298" s="2" t="inlineStr">
        <is>
          <t>Daniel Okafor</t>
        </is>
      </c>
      <c r="C298" s="2" t="inlineStr">
        <is>
          <t>East</t>
        </is>
      </c>
      <c r="D298" s="2" t="inlineStr">
        <is>
          <t>Q3</t>
        </is>
      </c>
      <c r="E298" s="2" t="inlineStr">
        <is>
          <t>Core Platform</t>
        </is>
      </c>
      <c r="F298" s="3" t="n">
        <v>18076</v>
      </c>
      <c r="G298" s="2" t="inlineStr">
        <is>
          <t>N</t>
        </is>
      </c>
    </row>
    <row r="299">
      <c r="A299" s="2" t="inlineStr">
        <is>
          <t>D-0298</t>
        </is>
      </c>
      <c r="B299" s="2" t="inlineStr">
        <is>
          <t>Daniel Okafor</t>
        </is>
      </c>
      <c r="C299" s="2" t="inlineStr">
        <is>
          <t>East</t>
        </is>
      </c>
      <c r="D299" s="2" t="inlineStr">
        <is>
          <t>Q3</t>
        </is>
      </c>
      <c r="E299" s="2" t="inlineStr">
        <is>
          <t>Core Platform</t>
        </is>
      </c>
      <c r="F299" s="3" t="n">
        <v>18600</v>
      </c>
      <c r="G299" s="2" t="inlineStr">
        <is>
          <t>N</t>
        </is>
      </c>
    </row>
    <row r="300">
      <c r="A300" s="2" t="inlineStr">
        <is>
          <t>D-0299</t>
        </is>
      </c>
      <c r="B300" s="2" t="inlineStr">
        <is>
          <t>Daniel Okafor</t>
        </is>
      </c>
      <c r="C300" s="2" t="inlineStr">
        <is>
          <t>East</t>
        </is>
      </c>
      <c r="D300" s="2" t="inlineStr">
        <is>
          <t>Q4</t>
        </is>
      </c>
      <c r="E300" s="2" t="inlineStr">
        <is>
          <t>Add-on Services</t>
        </is>
      </c>
      <c r="F300" s="3" t="n">
        <v>15240</v>
      </c>
      <c r="G300" s="2" t="inlineStr">
        <is>
          <t>N</t>
        </is>
      </c>
    </row>
    <row r="301">
      <c r="A301" s="2" t="inlineStr">
        <is>
          <t>D-0300</t>
        </is>
      </c>
      <c r="B301" s="2" t="inlineStr">
        <is>
          <t>Daniel Okafor</t>
        </is>
      </c>
      <c r="C301" s="2" t="inlineStr">
        <is>
          <t>East</t>
        </is>
      </c>
      <c r="D301" s="2" t="inlineStr">
        <is>
          <t>Q4</t>
        </is>
      </c>
      <c r="E301" s="2" t="inlineStr">
        <is>
          <t>Core Platform</t>
        </is>
      </c>
      <c r="F301" s="3" t="n">
        <v>27396</v>
      </c>
      <c r="G301" s="2" t="inlineStr">
        <is>
          <t>N</t>
        </is>
      </c>
    </row>
    <row r="302">
      <c r="A302" s="2" t="inlineStr">
        <is>
          <t>D-0301</t>
        </is>
      </c>
      <c r="B302" s="2" t="inlineStr">
        <is>
          <t>Daniel Okafor</t>
        </is>
      </c>
      <c r="C302" s="2" t="inlineStr">
        <is>
          <t>East</t>
        </is>
      </c>
      <c r="D302" s="2" t="inlineStr">
        <is>
          <t>Q4</t>
        </is>
      </c>
      <c r="E302" s="2" t="inlineStr">
        <is>
          <t>Core Platform</t>
        </is>
      </c>
      <c r="F302" s="3" t="n">
        <v>35560</v>
      </c>
      <c r="G302" s="2" t="inlineStr">
        <is>
          <t>N</t>
        </is>
      </c>
    </row>
    <row r="303">
      <c r="A303" s="2" t="inlineStr">
        <is>
          <t>D-0302</t>
        </is>
      </c>
      <c r="B303" s="2" t="inlineStr">
        <is>
          <t>Daniel Okafor</t>
        </is>
      </c>
      <c r="C303" s="2" t="inlineStr">
        <is>
          <t>East</t>
        </is>
      </c>
      <c r="D303" s="2" t="inlineStr">
        <is>
          <t>Q4</t>
        </is>
      </c>
      <c r="E303" s="2" t="inlineStr">
        <is>
          <t>Enterprise Suite</t>
        </is>
      </c>
      <c r="F303" s="3" t="n">
        <v>192861</v>
      </c>
      <c r="G303" s="2" t="inlineStr">
        <is>
          <t>N</t>
        </is>
      </c>
    </row>
    <row r="304">
      <c r="A304" s="2" t="inlineStr">
        <is>
          <t>D-0303</t>
        </is>
      </c>
      <c r="B304" s="2" t="inlineStr">
        <is>
          <t>Daniel Okafor</t>
        </is>
      </c>
      <c r="C304" s="2" t="inlineStr">
        <is>
          <t>East</t>
        </is>
      </c>
      <c r="D304" s="2" t="inlineStr">
        <is>
          <t>Q4</t>
        </is>
      </c>
      <c r="E304" s="2" t="inlineStr">
        <is>
          <t>Core Platform</t>
        </is>
      </c>
      <c r="F304" s="3" t="n">
        <v>35198</v>
      </c>
      <c r="G304" s="2" t="inlineStr">
        <is>
          <t>N</t>
        </is>
      </c>
    </row>
    <row r="305">
      <c r="A305" s="2" t="inlineStr">
        <is>
          <t>D-0304</t>
        </is>
      </c>
      <c r="B305" s="2" t="inlineStr">
        <is>
          <t>Daniel Okafor</t>
        </is>
      </c>
      <c r="C305" s="2" t="inlineStr">
        <is>
          <t>East</t>
        </is>
      </c>
      <c r="D305" s="2" t="inlineStr">
        <is>
          <t>Q4</t>
        </is>
      </c>
      <c r="E305" s="2" t="inlineStr">
        <is>
          <t>Core Platform</t>
        </is>
      </c>
      <c r="F305" s="3" t="n">
        <v>82733</v>
      </c>
      <c r="G305" s="2" t="inlineStr">
        <is>
          <t>N</t>
        </is>
      </c>
    </row>
    <row r="306">
      <c r="A306" s="2" t="inlineStr">
        <is>
          <t>D-0305</t>
        </is>
      </c>
      <c r="B306" s="2" t="inlineStr">
        <is>
          <t>Daniel Okafor</t>
        </is>
      </c>
      <c r="C306" s="2" t="inlineStr">
        <is>
          <t>East</t>
        </is>
      </c>
      <c r="D306" s="2" t="inlineStr">
        <is>
          <t>Q4</t>
        </is>
      </c>
      <c r="E306" s="2" t="inlineStr">
        <is>
          <t>Enterprise Suite</t>
        </is>
      </c>
      <c r="F306" s="3" t="n">
        <v>38826</v>
      </c>
      <c r="G306" s="2" t="inlineStr">
        <is>
          <t>N</t>
        </is>
      </c>
    </row>
    <row r="307">
      <c r="A307" s="2" t="inlineStr">
        <is>
          <t>D-0306</t>
        </is>
      </c>
      <c r="B307" s="2" t="inlineStr">
        <is>
          <t>Daniel Okafor</t>
        </is>
      </c>
      <c r="C307" s="2" t="inlineStr">
        <is>
          <t>East</t>
        </is>
      </c>
      <c r="D307" s="2" t="inlineStr">
        <is>
          <t>Q4</t>
        </is>
      </c>
      <c r="E307" s="2" t="inlineStr">
        <is>
          <t>Core Platform</t>
        </is>
      </c>
      <c r="F307" s="3" t="n">
        <v>11793</v>
      </c>
      <c r="G307" s="2" t="inlineStr">
        <is>
          <t>N</t>
        </is>
      </c>
    </row>
    <row r="308">
      <c r="A308" s="2" t="inlineStr">
        <is>
          <t>D-0307</t>
        </is>
      </c>
      <c r="B308" s="2" t="inlineStr">
        <is>
          <t>Daniel Okafor</t>
        </is>
      </c>
      <c r="C308" s="2" t="inlineStr">
        <is>
          <t>East</t>
        </is>
      </c>
      <c r="D308" s="2" t="inlineStr">
        <is>
          <t>Q4</t>
        </is>
      </c>
      <c r="E308" s="2" t="inlineStr">
        <is>
          <t>Add-on Services</t>
        </is>
      </c>
      <c r="F308" s="3" t="n">
        <v>9072</v>
      </c>
      <c r="G308" s="2" t="inlineStr">
        <is>
          <t>N</t>
        </is>
      </c>
    </row>
    <row r="309">
      <c r="A309" s="2" t="inlineStr">
        <is>
          <t>D-0308</t>
        </is>
      </c>
      <c r="B309" s="2" t="inlineStr">
        <is>
          <t>Lena Fischer</t>
        </is>
      </c>
      <c r="C309" s="2" t="inlineStr">
        <is>
          <t>East</t>
        </is>
      </c>
      <c r="D309" s="2" t="inlineStr">
        <is>
          <t>Q1</t>
        </is>
      </c>
      <c r="E309" s="2" t="inlineStr">
        <is>
          <t>Add-on Services</t>
        </is>
      </c>
      <c r="F309" s="3" t="n">
        <v>2368</v>
      </c>
      <c r="G309" s="2" t="inlineStr">
        <is>
          <t>Y</t>
        </is>
      </c>
    </row>
    <row r="310">
      <c r="A310" s="2" t="inlineStr">
        <is>
          <t>D-0309</t>
        </is>
      </c>
      <c r="B310" s="2" t="inlineStr">
        <is>
          <t>Lena Fischer</t>
        </is>
      </c>
      <c r="C310" s="2" t="inlineStr">
        <is>
          <t>East</t>
        </is>
      </c>
      <c r="D310" s="2" t="inlineStr">
        <is>
          <t>Q1</t>
        </is>
      </c>
      <c r="E310" s="2" t="inlineStr">
        <is>
          <t>Add-on Services</t>
        </is>
      </c>
      <c r="F310" s="3" t="n">
        <v>6889</v>
      </c>
      <c r="G310" s="2" t="inlineStr">
        <is>
          <t>N</t>
        </is>
      </c>
    </row>
    <row r="311">
      <c r="A311" s="2" t="inlineStr">
        <is>
          <t>D-0310</t>
        </is>
      </c>
      <c r="B311" s="2" t="inlineStr">
        <is>
          <t>Lena Fischer</t>
        </is>
      </c>
      <c r="C311" s="2" t="inlineStr">
        <is>
          <t>East</t>
        </is>
      </c>
      <c r="D311" s="2" t="inlineStr">
        <is>
          <t>Q1</t>
        </is>
      </c>
      <c r="E311" s="2" t="inlineStr">
        <is>
          <t>Core Platform</t>
        </is>
      </c>
      <c r="F311" s="3" t="n">
        <v>16038</v>
      </c>
      <c r="G311" s="2" t="inlineStr">
        <is>
          <t>N</t>
        </is>
      </c>
    </row>
    <row r="312">
      <c r="A312" s="2" t="inlineStr">
        <is>
          <t>D-0311</t>
        </is>
      </c>
      <c r="B312" s="2" t="inlineStr">
        <is>
          <t>Lena Fischer</t>
        </is>
      </c>
      <c r="C312" s="2" t="inlineStr">
        <is>
          <t>East</t>
        </is>
      </c>
      <c r="D312" s="2" t="inlineStr">
        <is>
          <t>Q1</t>
        </is>
      </c>
      <c r="E312" s="2" t="inlineStr">
        <is>
          <t>Enterprise Suite</t>
        </is>
      </c>
      <c r="F312" s="3" t="n">
        <v>47252</v>
      </c>
      <c r="G312" s="2" t="inlineStr">
        <is>
          <t>N</t>
        </is>
      </c>
    </row>
    <row r="313">
      <c r="A313" s="2" t="inlineStr">
        <is>
          <t>D-0312</t>
        </is>
      </c>
      <c r="B313" s="2" t="inlineStr">
        <is>
          <t>Lena Fischer</t>
        </is>
      </c>
      <c r="C313" s="2" t="inlineStr">
        <is>
          <t>East</t>
        </is>
      </c>
      <c r="D313" s="2" t="inlineStr">
        <is>
          <t>Q1</t>
        </is>
      </c>
      <c r="E313" s="2" t="inlineStr">
        <is>
          <t>Core Platform</t>
        </is>
      </c>
      <c r="F313" s="3" t="n">
        <v>15822</v>
      </c>
      <c r="G313" s="2" t="inlineStr">
        <is>
          <t>N</t>
        </is>
      </c>
    </row>
    <row r="314">
      <c r="A314" s="2" t="inlineStr">
        <is>
          <t>D-0313</t>
        </is>
      </c>
      <c r="B314" s="2" t="inlineStr">
        <is>
          <t>Lena Fischer</t>
        </is>
      </c>
      <c r="C314" s="2" t="inlineStr">
        <is>
          <t>East</t>
        </is>
      </c>
      <c r="D314" s="2" t="inlineStr">
        <is>
          <t>Q1</t>
        </is>
      </c>
      <c r="E314" s="2" t="inlineStr">
        <is>
          <t>Add-on Services</t>
        </is>
      </c>
      <c r="F314" s="3" t="n">
        <v>2691</v>
      </c>
      <c r="G314" s="2" t="inlineStr">
        <is>
          <t>N</t>
        </is>
      </c>
    </row>
    <row r="315">
      <c r="A315" s="2" t="inlineStr">
        <is>
          <t>D-0314</t>
        </is>
      </c>
      <c r="B315" s="2" t="inlineStr">
        <is>
          <t>Lena Fischer</t>
        </is>
      </c>
      <c r="C315" s="2" t="inlineStr">
        <is>
          <t>East</t>
        </is>
      </c>
      <c r="D315" s="2" t="inlineStr">
        <is>
          <t>Q1</t>
        </is>
      </c>
      <c r="E315" s="2" t="inlineStr">
        <is>
          <t>Add-on Services</t>
        </is>
      </c>
      <c r="F315" s="3" t="n">
        <v>9795</v>
      </c>
      <c r="G315" s="2" t="inlineStr">
        <is>
          <t>N</t>
        </is>
      </c>
    </row>
    <row r="316">
      <c r="A316" s="2" t="inlineStr">
        <is>
          <t>D-0315</t>
        </is>
      </c>
      <c r="B316" s="2" t="inlineStr">
        <is>
          <t>Lena Fischer</t>
        </is>
      </c>
      <c r="C316" s="2" t="inlineStr">
        <is>
          <t>East</t>
        </is>
      </c>
      <c r="D316" s="2" t="inlineStr">
        <is>
          <t>Q1</t>
        </is>
      </c>
      <c r="E316" s="2" t="inlineStr">
        <is>
          <t>Core Platform</t>
        </is>
      </c>
      <c r="F316" s="3" t="n">
        <v>15177</v>
      </c>
      <c r="G316" s="2" t="inlineStr">
        <is>
          <t>N</t>
        </is>
      </c>
    </row>
    <row r="317">
      <c r="A317" s="2" t="inlineStr">
        <is>
          <t>D-0316</t>
        </is>
      </c>
      <c r="B317" s="2" t="inlineStr">
        <is>
          <t>Lena Fischer</t>
        </is>
      </c>
      <c r="C317" s="2" t="inlineStr">
        <is>
          <t>East</t>
        </is>
      </c>
      <c r="D317" s="2" t="inlineStr">
        <is>
          <t>Q1</t>
        </is>
      </c>
      <c r="E317" s="2" t="inlineStr">
        <is>
          <t>Enterprise Suite</t>
        </is>
      </c>
      <c r="F317" s="3" t="n">
        <v>116246</v>
      </c>
      <c r="G317" s="2" t="inlineStr">
        <is>
          <t>N</t>
        </is>
      </c>
    </row>
    <row r="318">
      <c r="A318" s="2" t="inlineStr">
        <is>
          <t>D-0317</t>
        </is>
      </c>
      <c r="B318" s="2" t="inlineStr">
        <is>
          <t>Lena Fischer</t>
        </is>
      </c>
      <c r="C318" s="2" t="inlineStr">
        <is>
          <t>East</t>
        </is>
      </c>
      <c r="D318" s="2" t="inlineStr">
        <is>
          <t>Q1</t>
        </is>
      </c>
      <c r="E318" s="2" t="inlineStr">
        <is>
          <t>Add-on Services</t>
        </is>
      </c>
      <c r="F318" s="3" t="n">
        <v>7534</v>
      </c>
      <c r="G318" s="2" t="inlineStr">
        <is>
          <t>N</t>
        </is>
      </c>
    </row>
    <row r="319">
      <c r="A319" s="2" t="inlineStr">
        <is>
          <t>D-0318</t>
        </is>
      </c>
      <c r="B319" s="2" t="inlineStr">
        <is>
          <t>Lena Fischer</t>
        </is>
      </c>
      <c r="C319" s="2" t="inlineStr">
        <is>
          <t>East</t>
        </is>
      </c>
      <c r="D319" s="2" t="inlineStr">
        <is>
          <t>Q1</t>
        </is>
      </c>
      <c r="E319" s="2" t="inlineStr">
        <is>
          <t>Core Platform</t>
        </is>
      </c>
      <c r="F319" s="3" t="n">
        <v>15607</v>
      </c>
      <c r="G319" s="2" t="inlineStr">
        <is>
          <t>N</t>
        </is>
      </c>
    </row>
    <row r="320">
      <c r="A320" s="2" t="inlineStr">
        <is>
          <t>D-0319</t>
        </is>
      </c>
      <c r="B320" s="2" t="inlineStr">
        <is>
          <t>Lena Fischer</t>
        </is>
      </c>
      <c r="C320" s="2" t="inlineStr">
        <is>
          <t>East</t>
        </is>
      </c>
      <c r="D320" s="2" t="inlineStr">
        <is>
          <t>Q2</t>
        </is>
      </c>
      <c r="E320" s="2" t="inlineStr">
        <is>
          <t>Add-on Services</t>
        </is>
      </c>
      <c r="F320" s="3" t="n">
        <v>7523</v>
      </c>
      <c r="G320" s="2" t="inlineStr">
        <is>
          <t>Y</t>
        </is>
      </c>
    </row>
    <row r="321">
      <c r="A321" s="2" t="inlineStr">
        <is>
          <t>D-0320</t>
        </is>
      </c>
      <c r="B321" s="2" t="inlineStr">
        <is>
          <t>Lena Fischer</t>
        </is>
      </c>
      <c r="C321" s="2" t="inlineStr">
        <is>
          <t>East</t>
        </is>
      </c>
      <c r="D321" s="2" t="inlineStr">
        <is>
          <t>Q2</t>
        </is>
      </c>
      <c r="E321" s="2" t="inlineStr">
        <is>
          <t>Core Platform</t>
        </is>
      </c>
      <c r="F321" s="3" t="n">
        <v>38407</v>
      </c>
      <c r="G321" s="2" t="inlineStr">
        <is>
          <t>Y</t>
        </is>
      </c>
    </row>
    <row r="322">
      <c r="A322" s="2" t="inlineStr">
        <is>
          <t>D-0321</t>
        </is>
      </c>
      <c r="B322" s="2" t="inlineStr">
        <is>
          <t>Lena Fischer</t>
        </is>
      </c>
      <c r="C322" s="2" t="inlineStr">
        <is>
          <t>East</t>
        </is>
      </c>
      <c r="D322" s="2" t="inlineStr">
        <is>
          <t>Q2</t>
        </is>
      </c>
      <c r="E322" s="2" t="inlineStr">
        <is>
          <t>Core Platform</t>
        </is>
      </c>
      <c r="F322" s="3" t="n">
        <v>9701</v>
      </c>
      <c r="G322" s="2" t="inlineStr">
        <is>
          <t>Y</t>
        </is>
      </c>
    </row>
    <row r="323">
      <c r="A323" s="2" t="inlineStr">
        <is>
          <t>D-0322</t>
        </is>
      </c>
      <c r="B323" s="2" t="inlineStr">
        <is>
          <t>Lena Fischer</t>
        </is>
      </c>
      <c r="C323" s="2" t="inlineStr">
        <is>
          <t>East</t>
        </is>
      </c>
      <c r="D323" s="2" t="inlineStr">
        <is>
          <t>Q2</t>
        </is>
      </c>
      <c r="E323" s="2" t="inlineStr">
        <is>
          <t>Add-on Services</t>
        </is>
      </c>
      <c r="F323" s="3" t="n">
        <v>37615</v>
      </c>
      <c r="G323" s="2" t="inlineStr">
        <is>
          <t>Y</t>
        </is>
      </c>
    </row>
    <row r="324">
      <c r="A324" s="2" t="inlineStr">
        <is>
          <t>D-0323</t>
        </is>
      </c>
      <c r="B324" s="2" t="inlineStr">
        <is>
          <t>Lena Fischer</t>
        </is>
      </c>
      <c r="C324" s="2" t="inlineStr">
        <is>
          <t>East</t>
        </is>
      </c>
      <c r="D324" s="2" t="inlineStr">
        <is>
          <t>Q2</t>
        </is>
      </c>
      <c r="E324" s="2" t="inlineStr">
        <is>
          <t>Add-on Services</t>
        </is>
      </c>
      <c r="F324" s="3" t="n">
        <v>22371</v>
      </c>
      <c r="G324" s="2" t="inlineStr">
        <is>
          <t>N</t>
        </is>
      </c>
    </row>
    <row r="325">
      <c r="A325" s="2" t="inlineStr">
        <is>
          <t>D-0324</t>
        </is>
      </c>
      <c r="B325" s="2" t="inlineStr">
        <is>
          <t>Lena Fischer</t>
        </is>
      </c>
      <c r="C325" s="2" t="inlineStr">
        <is>
          <t>East</t>
        </is>
      </c>
      <c r="D325" s="2" t="inlineStr">
        <is>
          <t>Q2</t>
        </is>
      </c>
      <c r="E325" s="2" t="inlineStr">
        <is>
          <t>Enterprise Suite</t>
        </is>
      </c>
      <c r="F325" s="3" t="n">
        <v>69687</v>
      </c>
      <c r="G325" s="2" t="inlineStr">
        <is>
          <t>N</t>
        </is>
      </c>
    </row>
    <row r="326">
      <c r="A326" s="2" t="inlineStr">
        <is>
          <t>D-0325</t>
        </is>
      </c>
      <c r="B326" s="2" t="inlineStr">
        <is>
          <t>Lena Fischer</t>
        </is>
      </c>
      <c r="C326" s="2" t="inlineStr">
        <is>
          <t>East</t>
        </is>
      </c>
      <c r="D326" s="2" t="inlineStr">
        <is>
          <t>Q2</t>
        </is>
      </c>
      <c r="E326" s="2" t="inlineStr">
        <is>
          <t>Core Platform</t>
        </is>
      </c>
      <c r="F326" s="3" t="n">
        <v>25737</v>
      </c>
      <c r="G326" s="2" t="inlineStr">
        <is>
          <t>N</t>
        </is>
      </c>
    </row>
    <row r="327">
      <c r="A327" s="2" t="inlineStr">
        <is>
          <t>D-0326</t>
        </is>
      </c>
      <c r="B327" s="2" t="inlineStr">
        <is>
          <t>Lena Fischer</t>
        </is>
      </c>
      <c r="C327" s="2" t="inlineStr">
        <is>
          <t>East</t>
        </is>
      </c>
      <c r="D327" s="2" t="inlineStr">
        <is>
          <t>Q2</t>
        </is>
      </c>
      <c r="E327" s="2" t="inlineStr">
        <is>
          <t>Add-on Services</t>
        </is>
      </c>
      <c r="F327" s="3" t="n">
        <v>13462</v>
      </c>
      <c r="G327" s="2" t="inlineStr">
        <is>
          <t>N</t>
        </is>
      </c>
    </row>
    <row r="328">
      <c r="A328" s="2" t="inlineStr">
        <is>
          <t>D-0327</t>
        </is>
      </c>
      <c r="B328" s="2" t="inlineStr">
        <is>
          <t>Lena Fischer</t>
        </is>
      </c>
      <c r="C328" s="2" t="inlineStr">
        <is>
          <t>East</t>
        </is>
      </c>
      <c r="D328" s="2" t="inlineStr">
        <is>
          <t>Q2</t>
        </is>
      </c>
      <c r="E328" s="2" t="inlineStr">
        <is>
          <t>Core Platform</t>
        </is>
      </c>
      <c r="F328" s="3" t="n">
        <v>36626</v>
      </c>
      <c r="G328" s="2" t="inlineStr">
        <is>
          <t>N</t>
        </is>
      </c>
    </row>
    <row r="329">
      <c r="A329" s="2" t="inlineStr">
        <is>
          <t>D-0328</t>
        </is>
      </c>
      <c r="B329" s="2" t="inlineStr">
        <is>
          <t>Lena Fischer</t>
        </is>
      </c>
      <c r="C329" s="2" t="inlineStr">
        <is>
          <t>East</t>
        </is>
      </c>
      <c r="D329" s="2" t="inlineStr">
        <is>
          <t>Q2</t>
        </is>
      </c>
      <c r="E329" s="2" t="inlineStr">
        <is>
          <t>Add-on Services</t>
        </is>
      </c>
      <c r="F329" s="3" t="n">
        <v>10295</v>
      </c>
      <c r="G329" s="2" t="inlineStr">
        <is>
          <t>N</t>
        </is>
      </c>
    </row>
    <row r="330">
      <c r="A330" s="2" t="inlineStr">
        <is>
          <t>D-0329</t>
        </is>
      </c>
      <c r="B330" s="2" t="inlineStr">
        <is>
          <t>Lena Fischer</t>
        </is>
      </c>
      <c r="C330" s="2" t="inlineStr">
        <is>
          <t>East</t>
        </is>
      </c>
      <c r="D330" s="2" t="inlineStr">
        <is>
          <t>Q2</t>
        </is>
      </c>
      <c r="E330" s="2" t="inlineStr">
        <is>
          <t>Core Platform</t>
        </is>
      </c>
      <c r="F330" s="3" t="n">
        <v>27915</v>
      </c>
      <c r="G330" s="2" t="inlineStr">
        <is>
          <t>N</t>
        </is>
      </c>
    </row>
    <row r="331">
      <c r="A331" s="2" t="inlineStr">
        <is>
          <t>D-0330</t>
        </is>
      </c>
      <c r="B331" s="2" t="inlineStr">
        <is>
          <t>Lena Fischer</t>
        </is>
      </c>
      <c r="C331" s="2" t="inlineStr">
        <is>
          <t>East</t>
        </is>
      </c>
      <c r="D331" s="2" t="inlineStr">
        <is>
          <t>Q2</t>
        </is>
      </c>
      <c r="E331" s="2" t="inlineStr">
        <is>
          <t>Add-on Services</t>
        </is>
      </c>
      <c r="F331" s="3" t="n">
        <v>5741</v>
      </c>
      <c r="G331" s="2" t="inlineStr">
        <is>
          <t>N</t>
        </is>
      </c>
    </row>
    <row r="332">
      <c r="A332" s="2" t="inlineStr">
        <is>
          <t>D-0331</t>
        </is>
      </c>
      <c r="B332" s="2" t="inlineStr">
        <is>
          <t>Lena Fischer</t>
        </is>
      </c>
      <c r="C332" s="2" t="inlineStr">
        <is>
          <t>East</t>
        </is>
      </c>
      <c r="D332" s="2" t="inlineStr">
        <is>
          <t>Q3</t>
        </is>
      </c>
      <c r="E332" s="2" t="inlineStr">
        <is>
          <t>Core Platform</t>
        </is>
      </c>
      <c r="F332" s="3" t="n">
        <v>10476</v>
      </c>
      <c r="G332" s="2" t="inlineStr">
        <is>
          <t>N</t>
        </is>
      </c>
    </row>
    <row r="333">
      <c r="A333" s="2" t="inlineStr">
        <is>
          <t>D-0332</t>
        </is>
      </c>
      <c r="B333" s="2" t="inlineStr">
        <is>
          <t>Lena Fischer</t>
        </is>
      </c>
      <c r="C333" s="2" t="inlineStr">
        <is>
          <t>East</t>
        </is>
      </c>
      <c r="D333" s="2" t="inlineStr">
        <is>
          <t>Q3</t>
        </is>
      </c>
      <c r="E333" s="2" t="inlineStr">
        <is>
          <t>Core Platform</t>
        </is>
      </c>
      <c r="F333" s="3" t="n">
        <v>16778</v>
      </c>
      <c r="G333" s="2" t="inlineStr">
        <is>
          <t>N</t>
        </is>
      </c>
    </row>
    <row r="334">
      <c r="A334" s="2" t="inlineStr">
        <is>
          <t>D-0333</t>
        </is>
      </c>
      <c r="B334" s="2" t="inlineStr">
        <is>
          <t>Lena Fischer</t>
        </is>
      </c>
      <c r="C334" s="2" t="inlineStr">
        <is>
          <t>East</t>
        </is>
      </c>
      <c r="D334" s="2" t="inlineStr">
        <is>
          <t>Q3</t>
        </is>
      </c>
      <c r="E334" s="2" t="inlineStr">
        <is>
          <t>Enterprise Suite</t>
        </is>
      </c>
      <c r="F334" s="3" t="n">
        <v>94366</v>
      </c>
      <c r="G334" s="2" t="inlineStr">
        <is>
          <t>N</t>
        </is>
      </c>
    </row>
    <row r="335">
      <c r="A335" s="2" t="inlineStr">
        <is>
          <t>D-0334</t>
        </is>
      </c>
      <c r="B335" s="2" t="inlineStr">
        <is>
          <t>Lena Fischer</t>
        </is>
      </c>
      <c r="C335" s="2" t="inlineStr">
        <is>
          <t>East</t>
        </is>
      </c>
      <c r="D335" s="2" t="inlineStr">
        <is>
          <t>Q3</t>
        </is>
      </c>
      <c r="E335" s="2" t="inlineStr">
        <is>
          <t>Add-on Services</t>
        </is>
      </c>
      <c r="F335" s="3" t="n">
        <v>6711</v>
      </c>
      <c r="G335" s="2" t="inlineStr">
        <is>
          <t>Y</t>
        </is>
      </c>
    </row>
    <row r="336">
      <c r="A336" s="2" t="inlineStr">
        <is>
          <t>D-0335</t>
        </is>
      </c>
      <c r="B336" s="2" t="inlineStr">
        <is>
          <t>Lena Fischer</t>
        </is>
      </c>
      <c r="C336" s="2" t="inlineStr">
        <is>
          <t>East</t>
        </is>
      </c>
      <c r="D336" s="2" t="inlineStr">
        <is>
          <t>Q3</t>
        </is>
      </c>
      <c r="E336" s="2" t="inlineStr">
        <is>
          <t>Enterprise Suite</t>
        </is>
      </c>
      <c r="F336" s="3" t="n">
        <v>69322</v>
      </c>
      <c r="G336" s="2" t="inlineStr">
        <is>
          <t>Y</t>
        </is>
      </c>
    </row>
    <row r="337">
      <c r="A337" s="2" t="inlineStr">
        <is>
          <t>D-0336</t>
        </is>
      </c>
      <c r="B337" s="2" t="inlineStr">
        <is>
          <t>Lena Fischer</t>
        </is>
      </c>
      <c r="C337" s="2" t="inlineStr">
        <is>
          <t>East</t>
        </is>
      </c>
      <c r="D337" s="2" t="inlineStr">
        <is>
          <t>Q3</t>
        </is>
      </c>
      <c r="E337" s="2" t="inlineStr">
        <is>
          <t>Enterprise Suite</t>
        </is>
      </c>
      <c r="F337" s="3" t="n">
        <v>44769</v>
      </c>
      <c r="G337" s="2" t="inlineStr">
        <is>
          <t>N</t>
        </is>
      </c>
    </row>
    <row r="338">
      <c r="A338" s="2" t="inlineStr">
        <is>
          <t>D-0337</t>
        </is>
      </c>
      <c r="B338" s="2" t="inlineStr">
        <is>
          <t>Lena Fischer</t>
        </is>
      </c>
      <c r="C338" s="2" t="inlineStr">
        <is>
          <t>East</t>
        </is>
      </c>
      <c r="D338" s="2" t="inlineStr">
        <is>
          <t>Q3</t>
        </is>
      </c>
      <c r="E338" s="2" t="inlineStr">
        <is>
          <t>Core Platform</t>
        </is>
      </c>
      <c r="F338" s="3" t="n">
        <v>22589</v>
      </c>
      <c r="G338" s="2" t="inlineStr">
        <is>
          <t>N</t>
        </is>
      </c>
    </row>
    <row r="339">
      <c r="A339" s="2" t="inlineStr">
        <is>
          <t>D-0338</t>
        </is>
      </c>
      <c r="B339" s="2" t="inlineStr">
        <is>
          <t>Lena Fischer</t>
        </is>
      </c>
      <c r="C339" s="2" t="inlineStr">
        <is>
          <t>East</t>
        </is>
      </c>
      <c r="D339" s="2" t="inlineStr">
        <is>
          <t>Q3</t>
        </is>
      </c>
      <c r="E339" s="2" t="inlineStr">
        <is>
          <t>Add-on Services</t>
        </is>
      </c>
      <c r="F339" s="3" t="n">
        <v>6302</v>
      </c>
      <c r="G339" s="2" t="inlineStr">
        <is>
          <t>N</t>
        </is>
      </c>
    </row>
    <row r="340">
      <c r="A340" s="2" t="inlineStr">
        <is>
          <t>D-0339</t>
        </is>
      </c>
      <c r="B340" s="2" t="inlineStr">
        <is>
          <t>Lena Fischer</t>
        </is>
      </c>
      <c r="C340" s="2" t="inlineStr">
        <is>
          <t>East</t>
        </is>
      </c>
      <c r="D340" s="2" t="inlineStr">
        <is>
          <t>Q3</t>
        </is>
      </c>
      <c r="E340" s="2" t="inlineStr">
        <is>
          <t>Core Platform</t>
        </is>
      </c>
      <c r="F340" s="3" t="n">
        <v>4665</v>
      </c>
      <c r="G340" s="2" t="inlineStr">
        <is>
          <t>Y</t>
        </is>
      </c>
    </row>
    <row r="341">
      <c r="A341" s="2" t="inlineStr">
        <is>
          <t>D-0340</t>
        </is>
      </c>
      <c r="B341" s="2" t="inlineStr">
        <is>
          <t>Lena Fischer</t>
        </is>
      </c>
      <c r="C341" s="2" t="inlineStr">
        <is>
          <t>East</t>
        </is>
      </c>
      <c r="D341" s="2" t="inlineStr">
        <is>
          <t>Q3</t>
        </is>
      </c>
      <c r="E341" s="2" t="inlineStr">
        <is>
          <t>Core Platform</t>
        </is>
      </c>
      <c r="F341" s="3" t="n">
        <v>4829</v>
      </c>
      <c r="G341" s="2" t="inlineStr">
        <is>
          <t>N</t>
        </is>
      </c>
    </row>
    <row r="342">
      <c r="A342" s="2" t="inlineStr">
        <is>
          <t>D-0341</t>
        </is>
      </c>
      <c r="B342" s="2" t="inlineStr">
        <is>
          <t>Lena Fischer</t>
        </is>
      </c>
      <c r="C342" s="2" t="inlineStr">
        <is>
          <t>East</t>
        </is>
      </c>
      <c r="D342" s="2" t="inlineStr">
        <is>
          <t>Q3</t>
        </is>
      </c>
      <c r="E342" s="2" t="inlineStr">
        <is>
          <t>Core Platform</t>
        </is>
      </c>
      <c r="F342" s="3" t="n">
        <v>21361</v>
      </c>
      <c r="G342" s="2" t="inlineStr">
        <is>
          <t>Y</t>
        </is>
      </c>
    </row>
    <row r="343">
      <c r="A343" s="2" t="inlineStr">
        <is>
          <t>D-0342</t>
        </is>
      </c>
      <c r="B343" s="2" t="inlineStr">
        <is>
          <t>Lena Fischer</t>
        </is>
      </c>
      <c r="C343" s="2" t="inlineStr">
        <is>
          <t>East</t>
        </is>
      </c>
      <c r="D343" s="2" t="inlineStr">
        <is>
          <t>Q3</t>
        </is>
      </c>
      <c r="E343" s="2" t="inlineStr">
        <is>
          <t>Add-on Services</t>
        </is>
      </c>
      <c r="F343" s="3" t="n">
        <v>3683</v>
      </c>
      <c r="G343" s="2" t="inlineStr">
        <is>
          <t>N</t>
        </is>
      </c>
    </row>
    <row r="344">
      <c r="A344" s="2" t="inlineStr">
        <is>
          <t>D-0343</t>
        </is>
      </c>
      <c r="B344" s="2" t="inlineStr">
        <is>
          <t>Lena Fischer</t>
        </is>
      </c>
      <c r="C344" s="2" t="inlineStr">
        <is>
          <t>East</t>
        </is>
      </c>
      <c r="D344" s="2" t="inlineStr">
        <is>
          <t>Q4</t>
        </is>
      </c>
      <c r="E344" s="2" t="inlineStr">
        <is>
          <t>Add-on Services</t>
        </is>
      </c>
      <c r="F344" s="3" t="n">
        <v>10925</v>
      </c>
      <c r="G344" s="2" t="inlineStr">
        <is>
          <t>N</t>
        </is>
      </c>
    </row>
    <row r="345">
      <c r="A345" s="2" t="inlineStr">
        <is>
          <t>D-0344</t>
        </is>
      </c>
      <c r="B345" s="2" t="inlineStr">
        <is>
          <t>Lena Fischer</t>
        </is>
      </c>
      <c r="C345" s="2" t="inlineStr">
        <is>
          <t>East</t>
        </is>
      </c>
      <c r="D345" s="2" t="inlineStr">
        <is>
          <t>Q4</t>
        </is>
      </c>
      <c r="E345" s="2" t="inlineStr">
        <is>
          <t>Core Platform</t>
        </is>
      </c>
      <c r="F345" s="3" t="n">
        <v>51168</v>
      </c>
      <c r="G345" s="2" t="inlineStr">
        <is>
          <t>N</t>
        </is>
      </c>
    </row>
    <row r="346">
      <c r="A346" s="2" t="inlineStr">
        <is>
          <t>D-0345</t>
        </is>
      </c>
      <c r="B346" s="2" t="inlineStr">
        <is>
          <t>Lena Fischer</t>
        </is>
      </c>
      <c r="C346" s="2" t="inlineStr">
        <is>
          <t>East</t>
        </is>
      </c>
      <c r="D346" s="2" t="inlineStr">
        <is>
          <t>Q4</t>
        </is>
      </c>
      <c r="E346" s="2" t="inlineStr">
        <is>
          <t>Add-on Services</t>
        </is>
      </c>
      <c r="F346" s="3" t="n">
        <v>7284</v>
      </c>
      <c r="G346" s="2" t="inlineStr">
        <is>
          <t>N</t>
        </is>
      </c>
    </row>
    <row r="347">
      <c r="A347" s="2" t="inlineStr">
        <is>
          <t>D-0346</t>
        </is>
      </c>
      <c r="B347" s="2" t="inlineStr">
        <is>
          <t>Lena Fischer</t>
        </is>
      </c>
      <c r="C347" s="2" t="inlineStr">
        <is>
          <t>East</t>
        </is>
      </c>
      <c r="D347" s="2" t="inlineStr">
        <is>
          <t>Q4</t>
        </is>
      </c>
      <c r="E347" s="2" t="inlineStr">
        <is>
          <t>Core Platform</t>
        </is>
      </c>
      <c r="F347" s="3" t="n">
        <v>20940</v>
      </c>
      <c r="G347" s="2" t="inlineStr">
        <is>
          <t>Y</t>
        </is>
      </c>
    </row>
    <row r="348">
      <c r="A348" s="2" t="inlineStr">
        <is>
          <t>D-0347</t>
        </is>
      </c>
      <c r="B348" s="2" t="inlineStr">
        <is>
          <t>Lena Fischer</t>
        </is>
      </c>
      <c r="C348" s="2" t="inlineStr">
        <is>
          <t>East</t>
        </is>
      </c>
      <c r="D348" s="2" t="inlineStr">
        <is>
          <t>Q4</t>
        </is>
      </c>
      <c r="E348" s="2" t="inlineStr">
        <is>
          <t>Enterprise Suite</t>
        </is>
      </c>
      <c r="F348" s="3" t="n">
        <v>94323</v>
      </c>
      <c r="G348" s="2" t="inlineStr">
        <is>
          <t>N</t>
        </is>
      </c>
    </row>
    <row r="349">
      <c r="A349" s="2" t="inlineStr">
        <is>
          <t>D-0348</t>
        </is>
      </c>
      <c r="B349" s="2" t="inlineStr">
        <is>
          <t>Lena Fischer</t>
        </is>
      </c>
      <c r="C349" s="2" t="inlineStr">
        <is>
          <t>East</t>
        </is>
      </c>
      <c r="D349" s="2" t="inlineStr">
        <is>
          <t>Q4</t>
        </is>
      </c>
      <c r="E349" s="2" t="inlineStr">
        <is>
          <t>Add-on Services</t>
        </is>
      </c>
      <c r="F349" s="3" t="n">
        <v>6191</v>
      </c>
      <c r="G349" s="2" t="inlineStr">
        <is>
          <t>N</t>
        </is>
      </c>
    </row>
    <row r="350">
      <c r="A350" s="2" t="inlineStr">
        <is>
          <t>D-0349</t>
        </is>
      </c>
      <c r="B350" s="2" t="inlineStr">
        <is>
          <t>Lena Fischer</t>
        </is>
      </c>
      <c r="C350" s="2" t="inlineStr">
        <is>
          <t>East</t>
        </is>
      </c>
      <c r="D350" s="2" t="inlineStr">
        <is>
          <t>Q4</t>
        </is>
      </c>
      <c r="E350" s="2" t="inlineStr">
        <is>
          <t>Add-on Services</t>
        </is>
      </c>
      <c r="F350" s="3" t="n">
        <v>16206</v>
      </c>
      <c r="G350" s="2" t="inlineStr">
        <is>
          <t>Y</t>
        </is>
      </c>
    </row>
    <row r="351">
      <c r="A351" s="2" t="inlineStr">
        <is>
          <t>D-0350</t>
        </is>
      </c>
      <c r="B351" s="2" t="inlineStr">
        <is>
          <t>Lena Fischer</t>
        </is>
      </c>
      <c r="C351" s="2" t="inlineStr">
        <is>
          <t>East</t>
        </is>
      </c>
      <c r="D351" s="2" t="inlineStr">
        <is>
          <t>Q4</t>
        </is>
      </c>
      <c r="E351" s="2" t="inlineStr">
        <is>
          <t>Core Platform</t>
        </is>
      </c>
      <c r="F351" s="3" t="n">
        <v>23672</v>
      </c>
      <c r="G351" s="2" t="inlineStr">
        <is>
          <t>Y</t>
        </is>
      </c>
    </row>
    <row r="352">
      <c r="A352" s="2" t="inlineStr">
        <is>
          <t>D-0351</t>
        </is>
      </c>
      <c r="B352" s="2" t="inlineStr">
        <is>
          <t>Lena Fischer</t>
        </is>
      </c>
      <c r="C352" s="2" t="inlineStr">
        <is>
          <t>East</t>
        </is>
      </c>
      <c r="D352" s="2" t="inlineStr">
        <is>
          <t>Q4</t>
        </is>
      </c>
      <c r="E352" s="2" t="inlineStr">
        <is>
          <t>Enterprise Suite</t>
        </is>
      </c>
      <c r="F352" s="3" t="n">
        <v>44430</v>
      </c>
      <c r="G352" s="2" t="inlineStr">
        <is>
          <t>N</t>
        </is>
      </c>
    </row>
    <row r="353">
      <c r="A353" s="2" t="inlineStr">
        <is>
          <t>D-0352</t>
        </is>
      </c>
      <c r="B353" s="2" t="inlineStr">
        <is>
          <t>Lena Fischer</t>
        </is>
      </c>
      <c r="C353" s="2" t="inlineStr">
        <is>
          <t>East</t>
        </is>
      </c>
      <c r="D353" s="2" t="inlineStr">
        <is>
          <t>Q4</t>
        </is>
      </c>
      <c r="E353" s="2" t="inlineStr">
        <is>
          <t>Add-on Services</t>
        </is>
      </c>
      <c r="F353" s="3" t="n">
        <v>13293</v>
      </c>
      <c r="G353" s="2" t="inlineStr">
        <is>
          <t>N</t>
        </is>
      </c>
    </row>
    <row r="354">
      <c r="A354" s="2" t="inlineStr">
        <is>
          <t>D-0353</t>
        </is>
      </c>
      <c r="B354" s="2" t="inlineStr">
        <is>
          <t>Lena Fischer</t>
        </is>
      </c>
      <c r="C354" s="2" t="inlineStr">
        <is>
          <t>East</t>
        </is>
      </c>
      <c r="D354" s="2" t="inlineStr">
        <is>
          <t>Q4</t>
        </is>
      </c>
      <c r="E354" s="2" t="inlineStr">
        <is>
          <t>Add-on Services</t>
        </is>
      </c>
      <c r="F354" s="3" t="n">
        <v>6737</v>
      </c>
      <c r="G354" s="2" t="inlineStr">
        <is>
          <t>N</t>
        </is>
      </c>
    </row>
    <row r="355">
      <c r="A355" s="2" t="inlineStr">
        <is>
          <t>D-0354</t>
        </is>
      </c>
      <c r="B355" s="2" t="inlineStr">
        <is>
          <t>Chris Novak</t>
        </is>
      </c>
      <c r="C355" s="2" t="inlineStr">
        <is>
          <t>East</t>
        </is>
      </c>
      <c r="D355" s="2" t="inlineStr">
        <is>
          <t>Q1</t>
        </is>
      </c>
      <c r="E355" s="2" t="inlineStr">
        <is>
          <t>Core Platform</t>
        </is>
      </c>
      <c r="F355" s="3" t="n">
        <v>13213</v>
      </c>
      <c r="G355" s="2" t="inlineStr">
        <is>
          <t>N</t>
        </is>
      </c>
    </row>
    <row r="356">
      <c r="A356" s="2" t="inlineStr">
        <is>
          <t>D-0355</t>
        </is>
      </c>
      <c r="B356" s="2" t="inlineStr">
        <is>
          <t>Chris Novak</t>
        </is>
      </c>
      <c r="C356" s="2" t="inlineStr">
        <is>
          <t>East</t>
        </is>
      </c>
      <c r="D356" s="2" t="inlineStr">
        <is>
          <t>Q1</t>
        </is>
      </c>
      <c r="E356" s="2" t="inlineStr">
        <is>
          <t>Add-on Services</t>
        </is>
      </c>
      <c r="F356" s="3" t="n">
        <v>8064</v>
      </c>
      <c r="G356" s="2" t="inlineStr">
        <is>
          <t>Y</t>
        </is>
      </c>
    </row>
    <row r="357">
      <c r="A357" s="2" t="inlineStr">
        <is>
          <t>D-0356</t>
        </is>
      </c>
      <c r="B357" s="2" t="inlineStr">
        <is>
          <t>Chris Novak</t>
        </is>
      </c>
      <c r="C357" s="2" t="inlineStr">
        <is>
          <t>East</t>
        </is>
      </c>
      <c r="D357" s="2" t="inlineStr">
        <is>
          <t>Q1</t>
        </is>
      </c>
      <c r="E357" s="2" t="inlineStr">
        <is>
          <t>Core Platform</t>
        </is>
      </c>
      <c r="F357" s="3" t="n">
        <v>22637</v>
      </c>
      <c r="G357" s="2" t="inlineStr">
        <is>
          <t>Y</t>
        </is>
      </c>
    </row>
    <row r="358">
      <c r="A358" s="2" t="inlineStr">
        <is>
          <t>D-0357</t>
        </is>
      </c>
      <c r="B358" s="2" t="inlineStr">
        <is>
          <t>Chris Novak</t>
        </is>
      </c>
      <c r="C358" s="2" t="inlineStr">
        <is>
          <t>East</t>
        </is>
      </c>
      <c r="D358" s="2" t="inlineStr">
        <is>
          <t>Q1</t>
        </is>
      </c>
      <c r="E358" s="2" t="inlineStr">
        <is>
          <t>Add-on Services</t>
        </is>
      </c>
      <c r="F358" s="3" t="n">
        <v>2137</v>
      </c>
      <c r="G358" s="2" t="inlineStr">
        <is>
          <t>N</t>
        </is>
      </c>
    </row>
    <row r="359">
      <c r="A359" s="2" t="inlineStr">
        <is>
          <t>D-0358</t>
        </is>
      </c>
      <c r="B359" s="2" t="inlineStr">
        <is>
          <t>Chris Novak</t>
        </is>
      </c>
      <c r="C359" s="2" t="inlineStr">
        <is>
          <t>East</t>
        </is>
      </c>
      <c r="D359" s="2" t="inlineStr">
        <is>
          <t>Q1</t>
        </is>
      </c>
      <c r="E359" s="2" t="inlineStr">
        <is>
          <t>Core Platform</t>
        </is>
      </c>
      <c r="F359" s="3" t="n">
        <v>17196</v>
      </c>
      <c r="G359" s="2" t="inlineStr">
        <is>
          <t>Y</t>
        </is>
      </c>
    </row>
    <row r="360">
      <c r="A360" s="2" t="inlineStr">
        <is>
          <t>D-0359</t>
        </is>
      </c>
      <c r="B360" s="2" t="inlineStr">
        <is>
          <t>Chris Novak</t>
        </is>
      </c>
      <c r="C360" s="2" t="inlineStr">
        <is>
          <t>East</t>
        </is>
      </c>
      <c r="D360" s="2" t="inlineStr">
        <is>
          <t>Q1</t>
        </is>
      </c>
      <c r="E360" s="2" t="inlineStr">
        <is>
          <t>Add-on Services</t>
        </is>
      </c>
      <c r="F360" s="3" t="n">
        <v>2817</v>
      </c>
      <c r="G360" s="2" t="inlineStr">
        <is>
          <t>N</t>
        </is>
      </c>
    </row>
    <row r="361">
      <c r="A361" s="2" t="inlineStr">
        <is>
          <t>D-0360</t>
        </is>
      </c>
      <c r="B361" s="2" t="inlineStr">
        <is>
          <t>Chris Novak</t>
        </is>
      </c>
      <c r="C361" s="2" t="inlineStr">
        <is>
          <t>East</t>
        </is>
      </c>
      <c r="D361" s="2" t="inlineStr">
        <is>
          <t>Q1</t>
        </is>
      </c>
      <c r="E361" s="2" t="inlineStr">
        <is>
          <t>Add-on Services</t>
        </is>
      </c>
      <c r="F361" s="3" t="n">
        <v>10784</v>
      </c>
      <c r="G361" s="2" t="inlineStr">
        <is>
          <t>N</t>
        </is>
      </c>
    </row>
    <row r="362">
      <c r="A362" s="2" t="inlineStr">
        <is>
          <t>D-0361</t>
        </is>
      </c>
      <c r="B362" s="2" t="inlineStr">
        <is>
          <t>Chris Novak</t>
        </is>
      </c>
      <c r="C362" s="2" t="inlineStr">
        <is>
          <t>East</t>
        </is>
      </c>
      <c r="D362" s="2" t="inlineStr">
        <is>
          <t>Q1</t>
        </is>
      </c>
      <c r="E362" s="2" t="inlineStr">
        <is>
          <t>Add-on Services</t>
        </is>
      </c>
      <c r="F362" s="3" t="n">
        <v>6412</v>
      </c>
      <c r="G362" s="2" t="inlineStr">
        <is>
          <t>N</t>
        </is>
      </c>
    </row>
    <row r="363">
      <c r="A363" s="2" t="inlineStr">
        <is>
          <t>D-0362</t>
        </is>
      </c>
      <c r="B363" s="2" t="inlineStr">
        <is>
          <t>Chris Novak</t>
        </is>
      </c>
      <c r="C363" s="2" t="inlineStr">
        <is>
          <t>East</t>
        </is>
      </c>
      <c r="D363" s="2" t="inlineStr">
        <is>
          <t>Q1</t>
        </is>
      </c>
      <c r="E363" s="2" t="inlineStr">
        <is>
          <t>Enterprise Suite</t>
        </is>
      </c>
      <c r="F363" s="3" t="n">
        <v>108813</v>
      </c>
      <c r="G363" s="2" t="inlineStr">
        <is>
          <t>N</t>
        </is>
      </c>
    </row>
    <row r="364">
      <c r="A364" s="2" t="inlineStr">
        <is>
          <t>D-0363</t>
        </is>
      </c>
      <c r="B364" s="2" t="inlineStr">
        <is>
          <t>Chris Novak</t>
        </is>
      </c>
      <c r="C364" s="2" t="inlineStr">
        <is>
          <t>East</t>
        </is>
      </c>
      <c r="D364" s="2" t="inlineStr">
        <is>
          <t>Q1</t>
        </is>
      </c>
      <c r="E364" s="2" t="inlineStr">
        <is>
          <t>Core Platform</t>
        </is>
      </c>
      <c r="F364" s="3" t="n">
        <v>13893</v>
      </c>
      <c r="G364" s="2" t="inlineStr">
        <is>
          <t>N</t>
        </is>
      </c>
    </row>
    <row r="365">
      <c r="A365" s="2" t="inlineStr">
        <is>
          <t>D-0364</t>
        </is>
      </c>
      <c r="B365" s="2" t="inlineStr">
        <is>
          <t>Chris Novak</t>
        </is>
      </c>
      <c r="C365" s="2" t="inlineStr">
        <is>
          <t>East</t>
        </is>
      </c>
      <c r="D365" s="2" t="inlineStr">
        <is>
          <t>Q2</t>
        </is>
      </c>
      <c r="E365" s="2" t="inlineStr">
        <is>
          <t>Core Platform</t>
        </is>
      </c>
      <c r="F365" s="3" t="n">
        <v>6793</v>
      </c>
      <c r="G365" s="2" t="inlineStr">
        <is>
          <t>N</t>
        </is>
      </c>
    </row>
    <row r="366">
      <c r="A366" s="2" t="inlineStr">
        <is>
          <t>D-0365</t>
        </is>
      </c>
      <c r="B366" s="2" t="inlineStr">
        <is>
          <t>Chris Novak</t>
        </is>
      </c>
      <c r="C366" s="2" t="inlineStr">
        <is>
          <t>East</t>
        </is>
      </c>
      <c r="D366" s="2" t="inlineStr">
        <is>
          <t>Q2</t>
        </is>
      </c>
      <c r="E366" s="2" t="inlineStr">
        <is>
          <t>Enterprise Suite</t>
        </is>
      </c>
      <c r="F366" s="3" t="n">
        <v>48399</v>
      </c>
      <c r="G366" s="2" t="inlineStr">
        <is>
          <t>N</t>
        </is>
      </c>
    </row>
    <row r="367">
      <c r="A367" s="2" t="inlineStr">
        <is>
          <t>D-0366</t>
        </is>
      </c>
      <c r="B367" s="2" t="inlineStr">
        <is>
          <t>Chris Novak</t>
        </is>
      </c>
      <c r="C367" s="2" t="inlineStr">
        <is>
          <t>East</t>
        </is>
      </c>
      <c r="D367" s="2" t="inlineStr">
        <is>
          <t>Q2</t>
        </is>
      </c>
      <c r="E367" s="2" t="inlineStr">
        <is>
          <t>Core Platform</t>
        </is>
      </c>
      <c r="F367" s="3" t="n">
        <v>18426</v>
      </c>
      <c r="G367" s="2" t="inlineStr">
        <is>
          <t>N</t>
        </is>
      </c>
    </row>
    <row r="368">
      <c r="A368" s="2" t="inlineStr">
        <is>
          <t>D-0367</t>
        </is>
      </c>
      <c r="B368" s="2" t="inlineStr">
        <is>
          <t>Chris Novak</t>
        </is>
      </c>
      <c r="C368" s="2" t="inlineStr">
        <is>
          <t>East</t>
        </is>
      </c>
      <c r="D368" s="2" t="inlineStr">
        <is>
          <t>Q2</t>
        </is>
      </c>
      <c r="E368" s="2" t="inlineStr">
        <is>
          <t>Core Platform</t>
        </is>
      </c>
      <c r="F368" s="3" t="n">
        <v>25558</v>
      </c>
      <c r="G368" s="2" t="inlineStr">
        <is>
          <t>N</t>
        </is>
      </c>
    </row>
    <row r="369">
      <c r="A369" s="2" t="inlineStr">
        <is>
          <t>D-0368</t>
        </is>
      </c>
      <c r="B369" s="2" t="inlineStr">
        <is>
          <t>Chris Novak</t>
        </is>
      </c>
      <c r="C369" s="2" t="inlineStr">
        <is>
          <t>East</t>
        </is>
      </c>
      <c r="D369" s="2" t="inlineStr">
        <is>
          <t>Q2</t>
        </is>
      </c>
      <c r="E369" s="2" t="inlineStr">
        <is>
          <t>Enterprise Suite</t>
        </is>
      </c>
      <c r="F369" s="3" t="n">
        <v>74551</v>
      </c>
      <c r="G369" s="2" t="inlineStr">
        <is>
          <t>N</t>
        </is>
      </c>
    </row>
    <row r="370">
      <c r="A370" s="2" t="inlineStr">
        <is>
          <t>D-0369</t>
        </is>
      </c>
      <c r="B370" s="2" t="inlineStr">
        <is>
          <t>Chris Novak</t>
        </is>
      </c>
      <c r="C370" s="2" t="inlineStr">
        <is>
          <t>East</t>
        </is>
      </c>
      <c r="D370" s="2" t="inlineStr">
        <is>
          <t>Q2</t>
        </is>
      </c>
      <c r="E370" s="2" t="inlineStr">
        <is>
          <t>Core Platform</t>
        </is>
      </c>
      <c r="F370" s="3" t="n">
        <v>5944</v>
      </c>
      <c r="G370" s="2" t="inlineStr">
        <is>
          <t>N</t>
        </is>
      </c>
    </row>
    <row r="371">
      <c r="A371" s="2" t="inlineStr">
        <is>
          <t>D-0370</t>
        </is>
      </c>
      <c r="B371" s="2" t="inlineStr">
        <is>
          <t>Chris Novak</t>
        </is>
      </c>
      <c r="C371" s="2" t="inlineStr">
        <is>
          <t>East</t>
        </is>
      </c>
      <c r="D371" s="2" t="inlineStr">
        <is>
          <t>Q2</t>
        </is>
      </c>
      <c r="E371" s="2" t="inlineStr">
        <is>
          <t>Core Platform</t>
        </is>
      </c>
      <c r="F371" s="3" t="n">
        <v>19275</v>
      </c>
      <c r="G371" s="2" t="inlineStr">
        <is>
          <t>Y</t>
        </is>
      </c>
    </row>
    <row r="372">
      <c r="A372" s="2" t="inlineStr">
        <is>
          <t>D-0371</t>
        </is>
      </c>
      <c r="B372" s="2" t="inlineStr">
        <is>
          <t>Chris Novak</t>
        </is>
      </c>
      <c r="C372" s="2" t="inlineStr">
        <is>
          <t>East</t>
        </is>
      </c>
      <c r="D372" s="2" t="inlineStr">
        <is>
          <t>Q2</t>
        </is>
      </c>
      <c r="E372" s="2" t="inlineStr">
        <is>
          <t>Core Platform</t>
        </is>
      </c>
      <c r="F372" s="3" t="n">
        <v>3991</v>
      </c>
      <c r="G372" s="2" t="inlineStr">
        <is>
          <t>N</t>
        </is>
      </c>
    </row>
    <row r="373">
      <c r="A373" s="2" t="inlineStr">
        <is>
          <t>D-0372</t>
        </is>
      </c>
      <c r="B373" s="2" t="inlineStr">
        <is>
          <t>Chris Novak</t>
        </is>
      </c>
      <c r="C373" s="2" t="inlineStr">
        <is>
          <t>East</t>
        </is>
      </c>
      <c r="D373" s="2" t="inlineStr">
        <is>
          <t>Q2</t>
        </is>
      </c>
      <c r="E373" s="2" t="inlineStr">
        <is>
          <t>Core Platform</t>
        </is>
      </c>
      <c r="F373" s="3" t="n">
        <v>14944</v>
      </c>
      <c r="G373" s="2" t="inlineStr">
        <is>
          <t>N</t>
        </is>
      </c>
    </row>
    <row r="374">
      <c r="A374" s="2" t="inlineStr">
        <is>
          <t>D-0373</t>
        </is>
      </c>
      <c r="B374" s="2" t="inlineStr">
        <is>
          <t>Chris Novak</t>
        </is>
      </c>
      <c r="C374" s="2" t="inlineStr">
        <is>
          <t>East</t>
        </is>
      </c>
      <c r="D374" s="2" t="inlineStr">
        <is>
          <t>Q2</t>
        </is>
      </c>
      <c r="E374" s="2" t="inlineStr">
        <is>
          <t>Core Platform</t>
        </is>
      </c>
      <c r="F374" s="3" t="n">
        <v>13331</v>
      </c>
      <c r="G374" s="2" t="inlineStr">
        <is>
          <t>N</t>
        </is>
      </c>
    </row>
    <row r="375">
      <c r="A375" s="2" t="inlineStr">
        <is>
          <t>D-0374</t>
        </is>
      </c>
      <c r="B375" s="2" t="inlineStr">
        <is>
          <t>Chris Novak</t>
        </is>
      </c>
      <c r="C375" s="2" t="inlineStr">
        <is>
          <t>East</t>
        </is>
      </c>
      <c r="D375" s="2" t="inlineStr">
        <is>
          <t>Q2</t>
        </is>
      </c>
      <c r="E375" s="2" t="inlineStr">
        <is>
          <t>Add-on Services</t>
        </is>
      </c>
      <c r="F375" s="3" t="n">
        <v>7642</v>
      </c>
      <c r="G375" s="2" t="inlineStr">
        <is>
          <t>Y</t>
        </is>
      </c>
    </row>
    <row r="376">
      <c r="A376" s="2" t="inlineStr">
        <is>
          <t>D-0375</t>
        </is>
      </c>
      <c r="B376" s="2" t="inlineStr">
        <is>
          <t>Chris Novak</t>
        </is>
      </c>
      <c r="C376" s="2" t="inlineStr">
        <is>
          <t>East</t>
        </is>
      </c>
      <c r="D376" s="2" t="inlineStr">
        <is>
          <t>Q3</t>
        </is>
      </c>
      <c r="E376" s="2" t="inlineStr">
        <is>
          <t>Core Platform</t>
        </is>
      </c>
      <c r="F376" s="3" t="n">
        <v>17309</v>
      </c>
      <c r="G376" s="2" t="inlineStr">
        <is>
          <t>N</t>
        </is>
      </c>
    </row>
    <row r="377">
      <c r="A377" s="2" t="inlineStr">
        <is>
          <t>D-0376</t>
        </is>
      </c>
      <c r="B377" s="2" t="inlineStr">
        <is>
          <t>Chris Novak</t>
        </is>
      </c>
      <c r="C377" s="2" t="inlineStr">
        <is>
          <t>East</t>
        </is>
      </c>
      <c r="D377" s="2" t="inlineStr">
        <is>
          <t>Q3</t>
        </is>
      </c>
      <c r="E377" s="2" t="inlineStr">
        <is>
          <t>Enterprise Suite</t>
        </is>
      </c>
      <c r="F377" s="3" t="n">
        <v>27449</v>
      </c>
      <c r="G377" s="2" t="inlineStr">
        <is>
          <t>N</t>
        </is>
      </c>
    </row>
    <row r="378">
      <c r="A378" s="2" t="inlineStr">
        <is>
          <t>D-0377</t>
        </is>
      </c>
      <c r="B378" s="2" t="inlineStr">
        <is>
          <t>Chris Novak</t>
        </is>
      </c>
      <c r="C378" s="2" t="inlineStr">
        <is>
          <t>East</t>
        </is>
      </c>
      <c r="D378" s="2" t="inlineStr">
        <is>
          <t>Q3</t>
        </is>
      </c>
      <c r="E378" s="2" t="inlineStr">
        <is>
          <t>Add-on Services</t>
        </is>
      </c>
      <c r="F378" s="3" t="n">
        <v>12188</v>
      </c>
      <c r="G378" s="2" t="inlineStr">
        <is>
          <t>Y</t>
        </is>
      </c>
    </row>
    <row r="379">
      <c r="A379" s="2" t="inlineStr">
        <is>
          <t>D-0378</t>
        </is>
      </c>
      <c r="B379" s="2" t="inlineStr">
        <is>
          <t>Chris Novak</t>
        </is>
      </c>
      <c r="C379" s="2" t="inlineStr">
        <is>
          <t>East</t>
        </is>
      </c>
      <c r="D379" s="2" t="inlineStr">
        <is>
          <t>Q3</t>
        </is>
      </c>
      <c r="E379" s="2" t="inlineStr">
        <is>
          <t>Add-on Services</t>
        </is>
      </c>
      <c r="F379" s="3" t="n">
        <v>12188</v>
      </c>
      <c r="G379" s="2" t="inlineStr">
        <is>
          <t>N</t>
        </is>
      </c>
    </row>
    <row r="380">
      <c r="A380" s="2" t="inlineStr">
        <is>
          <t>D-0379</t>
        </is>
      </c>
      <c r="B380" s="2" t="inlineStr">
        <is>
          <t>Chris Novak</t>
        </is>
      </c>
      <c r="C380" s="2" t="inlineStr">
        <is>
          <t>East</t>
        </is>
      </c>
      <c r="D380" s="2" t="inlineStr">
        <is>
          <t>Q3</t>
        </is>
      </c>
      <c r="E380" s="2" t="inlineStr">
        <is>
          <t>Core Platform</t>
        </is>
      </c>
      <c r="F380" s="3" t="n">
        <v>23455</v>
      </c>
      <c r="G380" s="2" t="inlineStr">
        <is>
          <t>N</t>
        </is>
      </c>
    </row>
    <row r="381">
      <c r="A381" s="2" t="inlineStr">
        <is>
          <t>D-0380</t>
        </is>
      </c>
      <c r="B381" s="2" t="inlineStr">
        <is>
          <t>Chris Novak</t>
        </is>
      </c>
      <c r="C381" s="2" t="inlineStr">
        <is>
          <t>East</t>
        </is>
      </c>
      <c r="D381" s="2" t="inlineStr">
        <is>
          <t>Q3</t>
        </is>
      </c>
      <c r="E381" s="2" t="inlineStr">
        <is>
          <t>Enterprise Suite</t>
        </is>
      </c>
      <c r="F381" s="3" t="n">
        <v>65448</v>
      </c>
      <c r="G381" s="2" t="inlineStr">
        <is>
          <t>N</t>
        </is>
      </c>
    </row>
    <row r="382">
      <c r="A382" s="2" t="inlineStr">
        <is>
          <t>D-0381</t>
        </is>
      </c>
      <c r="B382" s="2" t="inlineStr">
        <is>
          <t>Chris Novak</t>
        </is>
      </c>
      <c r="C382" s="2" t="inlineStr">
        <is>
          <t>East</t>
        </is>
      </c>
      <c r="D382" s="2" t="inlineStr">
        <is>
          <t>Q3</t>
        </is>
      </c>
      <c r="E382" s="2" t="inlineStr">
        <is>
          <t>Add-on Services</t>
        </is>
      </c>
      <c r="F382" s="3" t="n">
        <v>13417</v>
      </c>
      <c r="G382" s="2" t="inlineStr">
        <is>
          <t>N</t>
        </is>
      </c>
    </row>
    <row r="383">
      <c r="A383" s="2" t="inlineStr">
        <is>
          <t>D-0382</t>
        </is>
      </c>
      <c r="B383" s="2" t="inlineStr">
        <is>
          <t>Chris Novak</t>
        </is>
      </c>
      <c r="C383" s="2" t="inlineStr">
        <is>
          <t>East</t>
        </is>
      </c>
      <c r="D383" s="2" t="inlineStr">
        <is>
          <t>Q3</t>
        </is>
      </c>
      <c r="E383" s="2" t="inlineStr">
        <is>
          <t>Core Platform</t>
        </is>
      </c>
      <c r="F383" s="3" t="n">
        <v>13315</v>
      </c>
      <c r="G383" s="2" t="inlineStr">
        <is>
          <t>Y</t>
        </is>
      </c>
    </row>
    <row r="384">
      <c r="A384" s="2" t="inlineStr">
        <is>
          <t>D-0383</t>
        </is>
      </c>
      <c r="B384" s="2" t="inlineStr">
        <is>
          <t>Chris Novak</t>
        </is>
      </c>
      <c r="C384" s="2" t="inlineStr">
        <is>
          <t>East</t>
        </is>
      </c>
      <c r="D384" s="2" t="inlineStr">
        <is>
          <t>Q3</t>
        </is>
      </c>
      <c r="E384" s="2" t="inlineStr">
        <is>
          <t>Add-on Services</t>
        </is>
      </c>
      <c r="F384" s="3" t="n">
        <v>11471</v>
      </c>
      <c r="G384" s="2" t="inlineStr">
        <is>
          <t>N</t>
        </is>
      </c>
    </row>
    <row r="385">
      <c r="A385" s="2" t="inlineStr">
        <is>
          <t>D-0384</t>
        </is>
      </c>
      <c r="B385" s="2" t="inlineStr">
        <is>
          <t>Chris Novak</t>
        </is>
      </c>
      <c r="C385" s="2" t="inlineStr">
        <is>
          <t>East</t>
        </is>
      </c>
      <c r="D385" s="2" t="inlineStr">
        <is>
          <t>Q3</t>
        </is>
      </c>
      <c r="E385" s="2" t="inlineStr">
        <is>
          <t>Core Platform</t>
        </is>
      </c>
      <c r="F385" s="3" t="n">
        <v>7989</v>
      </c>
      <c r="G385" s="2" t="inlineStr">
        <is>
          <t>N</t>
        </is>
      </c>
    </row>
    <row r="386">
      <c r="A386" s="2" t="inlineStr">
        <is>
          <t>D-0385</t>
        </is>
      </c>
      <c r="B386" s="2" t="inlineStr">
        <is>
          <t>Chris Novak</t>
        </is>
      </c>
      <c r="C386" s="2" t="inlineStr">
        <is>
          <t>East</t>
        </is>
      </c>
      <c r="D386" s="2" t="inlineStr">
        <is>
          <t>Q4</t>
        </is>
      </c>
      <c r="E386" s="2" t="inlineStr">
        <is>
          <t>Core Platform</t>
        </is>
      </c>
      <c r="F386" s="3" t="n">
        <v>48200</v>
      </c>
      <c r="G386" s="2" t="inlineStr">
        <is>
          <t>Y</t>
        </is>
      </c>
    </row>
    <row r="387">
      <c r="A387" s="2" t="inlineStr">
        <is>
          <t>D-0386</t>
        </is>
      </c>
      <c r="B387" s="2" t="inlineStr">
        <is>
          <t>Chris Novak</t>
        </is>
      </c>
      <c r="C387" s="2" t="inlineStr">
        <is>
          <t>East</t>
        </is>
      </c>
      <c r="D387" s="2" t="inlineStr">
        <is>
          <t>Q4</t>
        </is>
      </c>
      <c r="E387" s="2" t="inlineStr">
        <is>
          <t>Core Platform</t>
        </is>
      </c>
      <c r="F387" s="3" t="n">
        <v>31693</v>
      </c>
      <c r="G387" s="2" t="inlineStr">
        <is>
          <t>Y</t>
        </is>
      </c>
    </row>
    <row r="388">
      <c r="A388" s="2" t="inlineStr">
        <is>
          <t>D-0387</t>
        </is>
      </c>
      <c r="B388" s="2" t="inlineStr">
        <is>
          <t>Chris Novak</t>
        </is>
      </c>
      <c r="C388" s="2" t="inlineStr">
        <is>
          <t>East</t>
        </is>
      </c>
      <c r="D388" s="2" t="inlineStr">
        <is>
          <t>Q4</t>
        </is>
      </c>
      <c r="E388" s="2" t="inlineStr">
        <is>
          <t>Core Platform</t>
        </is>
      </c>
      <c r="F388" s="3" t="n">
        <v>14526</v>
      </c>
      <c r="G388" s="2" t="inlineStr">
        <is>
          <t>Y</t>
        </is>
      </c>
    </row>
    <row r="389">
      <c r="A389" s="2" t="inlineStr">
        <is>
          <t>D-0388</t>
        </is>
      </c>
      <c r="B389" s="2" t="inlineStr">
        <is>
          <t>Chris Novak</t>
        </is>
      </c>
      <c r="C389" s="2" t="inlineStr">
        <is>
          <t>East</t>
        </is>
      </c>
      <c r="D389" s="2" t="inlineStr">
        <is>
          <t>Q4</t>
        </is>
      </c>
      <c r="E389" s="2" t="inlineStr">
        <is>
          <t>Add-on Services</t>
        </is>
      </c>
      <c r="F389" s="3" t="n">
        <v>10234</v>
      </c>
      <c r="G389" s="2" t="inlineStr">
        <is>
          <t>N</t>
        </is>
      </c>
    </row>
    <row r="390">
      <c r="A390" s="2" t="inlineStr">
        <is>
          <t>D-0389</t>
        </is>
      </c>
      <c r="B390" s="2" t="inlineStr">
        <is>
          <t>Chris Novak</t>
        </is>
      </c>
      <c r="C390" s="2" t="inlineStr">
        <is>
          <t>East</t>
        </is>
      </c>
      <c r="D390" s="2" t="inlineStr">
        <is>
          <t>Q4</t>
        </is>
      </c>
      <c r="E390" s="2" t="inlineStr">
        <is>
          <t>Core Platform</t>
        </is>
      </c>
      <c r="F390" s="3" t="n">
        <v>63387</v>
      </c>
      <c r="G390" s="2" t="inlineStr">
        <is>
          <t>N</t>
        </is>
      </c>
    </row>
    <row r="391">
      <c r="A391" s="2" t="inlineStr">
        <is>
          <t>D-0390</t>
        </is>
      </c>
      <c r="B391" s="2" t="inlineStr">
        <is>
          <t>Chris Novak</t>
        </is>
      </c>
      <c r="C391" s="2" t="inlineStr">
        <is>
          <t>East</t>
        </is>
      </c>
      <c r="D391" s="2" t="inlineStr">
        <is>
          <t>Q4</t>
        </is>
      </c>
      <c r="E391" s="2" t="inlineStr">
        <is>
          <t>Core Platform</t>
        </is>
      </c>
      <c r="F391" s="3" t="n">
        <v>23440</v>
      </c>
      <c r="G391" s="2" t="inlineStr">
        <is>
          <t>N</t>
        </is>
      </c>
    </row>
    <row r="392">
      <c r="A392" s="2" t="inlineStr">
        <is>
          <t>D-0391</t>
        </is>
      </c>
      <c r="B392" s="2" t="inlineStr">
        <is>
          <t>Chris Novak</t>
        </is>
      </c>
      <c r="C392" s="2" t="inlineStr">
        <is>
          <t>East</t>
        </is>
      </c>
      <c r="D392" s="2" t="inlineStr">
        <is>
          <t>Q4</t>
        </is>
      </c>
      <c r="E392" s="2" t="inlineStr">
        <is>
          <t>Core Platform</t>
        </is>
      </c>
      <c r="F392" s="3" t="n">
        <v>40607</v>
      </c>
      <c r="G392" s="2" t="inlineStr">
        <is>
          <t>N</t>
        </is>
      </c>
    </row>
    <row r="393">
      <c r="A393" s="2" t="inlineStr">
        <is>
          <t>D-0392</t>
        </is>
      </c>
      <c r="B393" s="2" t="inlineStr">
        <is>
          <t>Chris Novak</t>
        </is>
      </c>
      <c r="C393" s="2" t="inlineStr">
        <is>
          <t>East</t>
        </is>
      </c>
      <c r="D393" s="2" t="inlineStr">
        <is>
          <t>Q4</t>
        </is>
      </c>
      <c r="E393" s="2" t="inlineStr">
        <is>
          <t>Add-on Services</t>
        </is>
      </c>
      <c r="F393" s="3" t="n">
        <v>16177</v>
      </c>
      <c r="G393" s="2" t="inlineStr">
        <is>
          <t>N</t>
        </is>
      </c>
    </row>
    <row r="394">
      <c r="A394" s="2" t="inlineStr">
        <is>
          <t>D-0393</t>
        </is>
      </c>
      <c r="B394" s="2" t="inlineStr">
        <is>
          <t>Chris Novak</t>
        </is>
      </c>
      <c r="C394" s="2" t="inlineStr">
        <is>
          <t>East</t>
        </is>
      </c>
      <c r="D394" s="2" t="inlineStr">
        <is>
          <t>Q4</t>
        </is>
      </c>
      <c r="E394" s="2" t="inlineStr">
        <is>
          <t>Add-on Services</t>
        </is>
      </c>
      <c r="F394" s="3" t="n">
        <v>11885</v>
      </c>
      <c r="G394" s="2" t="inlineStr">
        <is>
          <t>N</t>
        </is>
      </c>
    </row>
    <row r="395">
      <c r="A395" s="2" t="inlineStr">
        <is>
          <t>D-0394</t>
        </is>
      </c>
      <c r="B395" s="2" t="inlineStr">
        <is>
          <t>Maria Santos</t>
        </is>
      </c>
      <c r="C395" s="2" t="inlineStr">
        <is>
          <t>South</t>
        </is>
      </c>
      <c r="D395" s="2" t="inlineStr">
        <is>
          <t>Q1</t>
        </is>
      </c>
      <c r="E395" s="2" t="inlineStr">
        <is>
          <t>Core Platform</t>
        </is>
      </c>
      <c r="F395" s="3" t="n">
        <v>13161</v>
      </c>
      <c r="G395" s="2" t="inlineStr">
        <is>
          <t>Y</t>
        </is>
      </c>
    </row>
    <row r="396">
      <c r="A396" s="2" t="inlineStr">
        <is>
          <t>D-0395</t>
        </is>
      </c>
      <c r="B396" s="2" t="inlineStr">
        <is>
          <t>Maria Santos</t>
        </is>
      </c>
      <c r="C396" s="2" t="inlineStr">
        <is>
          <t>South</t>
        </is>
      </c>
      <c r="D396" s="2" t="inlineStr">
        <is>
          <t>Q1</t>
        </is>
      </c>
      <c r="E396" s="2" t="inlineStr">
        <is>
          <t>Add-on Services</t>
        </is>
      </c>
      <c r="F396" s="3" t="n">
        <v>5354</v>
      </c>
      <c r="G396" s="2" t="inlineStr">
        <is>
          <t>N</t>
        </is>
      </c>
    </row>
    <row r="397">
      <c r="A397" s="2" t="inlineStr">
        <is>
          <t>D-0396</t>
        </is>
      </c>
      <c r="B397" s="2" t="inlineStr">
        <is>
          <t>Maria Santos</t>
        </is>
      </c>
      <c r="C397" s="2" t="inlineStr">
        <is>
          <t>South</t>
        </is>
      </c>
      <c r="D397" s="2" t="inlineStr">
        <is>
          <t>Q1</t>
        </is>
      </c>
      <c r="E397" s="2" t="inlineStr">
        <is>
          <t>Core Platform</t>
        </is>
      </c>
      <c r="F397" s="3" t="n">
        <v>29223</v>
      </c>
      <c r="G397" s="2" t="inlineStr">
        <is>
          <t>Y</t>
        </is>
      </c>
    </row>
    <row r="398">
      <c r="A398" s="2" t="inlineStr">
        <is>
          <t>D-0397</t>
        </is>
      </c>
      <c r="B398" s="2" t="inlineStr">
        <is>
          <t>Maria Santos</t>
        </is>
      </c>
      <c r="C398" s="2" t="inlineStr">
        <is>
          <t>South</t>
        </is>
      </c>
      <c r="D398" s="2" t="inlineStr">
        <is>
          <t>Q1</t>
        </is>
      </c>
      <c r="E398" s="2" t="inlineStr">
        <is>
          <t>Enterprise Suite</t>
        </is>
      </c>
      <c r="F398" s="3" t="n">
        <v>74953</v>
      </c>
      <c r="G398" s="2" t="inlineStr">
        <is>
          <t>N</t>
        </is>
      </c>
    </row>
    <row r="399">
      <c r="A399" s="2" t="inlineStr">
        <is>
          <t>D-0398</t>
        </is>
      </c>
      <c r="B399" s="2" t="inlineStr">
        <is>
          <t>Maria Santos</t>
        </is>
      </c>
      <c r="C399" s="2" t="inlineStr">
        <is>
          <t>South</t>
        </is>
      </c>
      <c r="D399" s="2" t="inlineStr">
        <is>
          <t>Q1</t>
        </is>
      </c>
      <c r="E399" s="2" t="inlineStr">
        <is>
          <t>Enterprise Suite</t>
        </is>
      </c>
      <c r="F399" s="3" t="n">
        <v>77853</v>
      </c>
      <c r="G399" s="2" t="inlineStr">
        <is>
          <t>N</t>
        </is>
      </c>
    </row>
    <row r="400">
      <c r="A400" s="2" t="inlineStr">
        <is>
          <t>D-0399</t>
        </is>
      </c>
      <c r="B400" s="2" t="inlineStr">
        <is>
          <t>Maria Santos</t>
        </is>
      </c>
      <c r="C400" s="2" t="inlineStr">
        <is>
          <t>South</t>
        </is>
      </c>
      <c r="D400" s="2" t="inlineStr">
        <is>
          <t>Q1</t>
        </is>
      </c>
      <c r="E400" s="2" t="inlineStr">
        <is>
          <t>Enterprise Suite</t>
        </is>
      </c>
      <c r="F400" s="3" t="n">
        <v>55769</v>
      </c>
      <c r="G400" s="2" t="inlineStr">
        <is>
          <t>Y</t>
        </is>
      </c>
    </row>
    <row r="401">
      <c r="A401" s="2" t="inlineStr">
        <is>
          <t>D-0400</t>
        </is>
      </c>
      <c r="B401" s="2" t="inlineStr">
        <is>
          <t>Maria Santos</t>
        </is>
      </c>
      <c r="C401" s="2" t="inlineStr">
        <is>
          <t>South</t>
        </is>
      </c>
      <c r="D401" s="2" t="inlineStr">
        <is>
          <t>Q1</t>
        </is>
      </c>
      <c r="E401" s="2" t="inlineStr">
        <is>
          <t>Add-on Services</t>
        </is>
      </c>
      <c r="F401" s="3" t="n">
        <v>12269</v>
      </c>
      <c r="G401" s="2" t="inlineStr">
        <is>
          <t>N</t>
        </is>
      </c>
    </row>
    <row r="402">
      <c r="A402" s="2" t="inlineStr">
        <is>
          <t>D-0401</t>
        </is>
      </c>
      <c r="B402" s="2" t="inlineStr">
        <is>
          <t>Maria Santos</t>
        </is>
      </c>
      <c r="C402" s="2" t="inlineStr">
        <is>
          <t>South</t>
        </is>
      </c>
      <c r="D402" s="2" t="inlineStr">
        <is>
          <t>Q1</t>
        </is>
      </c>
      <c r="E402" s="2" t="inlineStr">
        <is>
          <t>Core Platform</t>
        </is>
      </c>
      <c r="F402" s="3" t="n">
        <v>12269</v>
      </c>
      <c r="G402" s="2" t="inlineStr">
        <is>
          <t>Y</t>
        </is>
      </c>
    </row>
    <row r="403">
      <c r="A403" s="2" t="inlineStr">
        <is>
          <t>D-0402</t>
        </is>
      </c>
      <c r="B403" s="2" t="inlineStr">
        <is>
          <t>Maria Santos</t>
        </is>
      </c>
      <c r="C403" s="2" t="inlineStr">
        <is>
          <t>South</t>
        </is>
      </c>
      <c r="D403" s="2" t="inlineStr">
        <is>
          <t>Q1</t>
        </is>
      </c>
      <c r="E403" s="2" t="inlineStr">
        <is>
          <t>Add-on Services</t>
        </is>
      </c>
      <c r="F403" s="3" t="n">
        <v>18961</v>
      </c>
      <c r="G403" s="2" t="inlineStr">
        <is>
          <t>N</t>
        </is>
      </c>
    </row>
    <row r="404">
      <c r="A404" s="2" t="inlineStr">
        <is>
          <t>D-0403</t>
        </is>
      </c>
      <c r="B404" s="2" t="inlineStr">
        <is>
          <t>Maria Santos</t>
        </is>
      </c>
      <c r="C404" s="2" t="inlineStr">
        <is>
          <t>South</t>
        </is>
      </c>
      <c r="D404" s="2" t="inlineStr">
        <is>
          <t>Q1</t>
        </is>
      </c>
      <c r="E404" s="2" t="inlineStr">
        <is>
          <t>Add-on Services</t>
        </is>
      </c>
      <c r="F404" s="3" t="n">
        <v>23200</v>
      </c>
      <c r="G404" s="2" t="inlineStr">
        <is>
          <t>N</t>
        </is>
      </c>
    </row>
    <row r="405">
      <c r="A405" s="2" t="inlineStr">
        <is>
          <t>D-0404</t>
        </is>
      </c>
      <c r="B405" s="2" t="inlineStr">
        <is>
          <t>Maria Santos</t>
        </is>
      </c>
      <c r="C405" s="2" t="inlineStr">
        <is>
          <t>South</t>
        </is>
      </c>
      <c r="D405" s="2" t="inlineStr">
        <is>
          <t>Q2</t>
        </is>
      </c>
      <c r="E405" s="2" t="inlineStr">
        <is>
          <t>Enterprise Suite</t>
        </is>
      </c>
      <c r="F405" s="3" t="n">
        <v>46769</v>
      </c>
      <c r="G405" s="2" t="inlineStr">
        <is>
          <t>N</t>
        </is>
      </c>
    </row>
    <row r="406">
      <c r="A406" s="2" t="inlineStr">
        <is>
          <t>D-0405</t>
        </is>
      </c>
      <c r="B406" s="2" t="inlineStr">
        <is>
          <t>Maria Santos</t>
        </is>
      </c>
      <c r="C406" s="2" t="inlineStr">
        <is>
          <t>South</t>
        </is>
      </c>
      <c r="D406" s="2" t="inlineStr">
        <is>
          <t>Q2</t>
        </is>
      </c>
      <c r="E406" s="2" t="inlineStr">
        <is>
          <t>Add-on Services</t>
        </is>
      </c>
      <c r="F406" s="3" t="n">
        <v>8160</v>
      </c>
      <c r="G406" s="2" t="inlineStr">
        <is>
          <t>N</t>
        </is>
      </c>
    </row>
    <row r="407">
      <c r="A407" s="2" t="inlineStr">
        <is>
          <t>D-0406</t>
        </is>
      </c>
      <c r="B407" s="2" t="inlineStr">
        <is>
          <t>Maria Santos</t>
        </is>
      </c>
      <c r="C407" s="2" t="inlineStr">
        <is>
          <t>South</t>
        </is>
      </c>
      <c r="D407" s="2" t="inlineStr">
        <is>
          <t>Q2</t>
        </is>
      </c>
      <c r="E407" s="2" t="inlineStr">
        <is>
          <t>Enterprise Suite</t>
        </is>
      </c>
      <c r="F407" s="3" t="n">
        <v>121800</v>
      </c>
      <c r="G407" s="2" t="inlineStr">
        <is>
          <t>N</t>
        </is>
      </c>
    </row>
    <row r="408">
      <c r="A408" s="2" t="inlineStr">
        <is>
          <t>D-0407</t>
        </is>
      </c>
      <c r="B408" s="2" t="inlineStr">
        <is>
          <t>Maria Santos</t>
        </is>
      </c>
      <c r="C408" s="2" t="inlineStr">
        <is>
          <t>South</t>
        </is>
      </c>
      <c r="D408" s="2" t="inlineStr">
        <is>
          <t>Q2</t>
        </is>
      </c>
      <c r="E408" s="2" t="inlineStr">
        <is>
          <t>Core Platform</t>
        </is>
      </c>
      <c r="F408" s="3" t="n">
        <v>12339</v>
      </c>
      <c r="G408" s="2" t="inlineStr">
        <is>
          <t>N</t>
        </is>
      </c>
    </row>
    <row r="409">
      <c r="A409" s="2" t="inlineStr">
        <is>
          <t>D-0408</t>
        </is>
      </c>
      <c r="B409" s="2" t="inlineStr">
        <is>
          <t>Maria Santos</t>
        </is>
      </c>
      <c r="C409" s="2" t="inlineStr">
        <is>
          <t>South</t>
        </is>
      </c>
      <c r="D409" s="2" t="inlineStr">
        <is>
          <t>Q2</t>
        </is>
      </c>
      <c r="E409" s="2" t="inlineStr">
        <is>
          <t>Enterprise Suite</t>
        </is>
      </c>
      <c r="F409" s="3" t="n">
        <v>144289</v>
      </c>
      <c r="G409" s="2" t="inlineStr">
        <is>
          <t>Y</t>
        </is>
      </c>
    </row>
    <row r="410">
      <c r="A410" s="2" t="inlineStr">
        <is>
          <t>D-0409</t>
        </is>
      </c>
      <c r="B410" s="2" t="inlineStr">
        <is>
          <t>Maria Santos</t>
        </is>
      </c>
      <c r="C410" s="2" t="inlineStr">
        <is>
          <t>South</t>
        </is>
      </c>
      <c r="D410" s="2" t="inlineStr">
        <is>
          <t>Q2</t>
        </is>
      </c>
      <c r="E410" s="2" t="inlineStr">
        <is>
          <t>Core Platform</t>
        </is>
      </c>
      <c r="F410" s="3" t="n">
        <v>12538</v>
      </c>
      <c r="G410" s="2" t="inlineStr">
        <is>
          <t>N</t>
        </is>
      </c>
    </row>
    <row r="411">
      <c r="A411" s="2" t="inlineStr">
        <is>
          <t>D-0410</t>
        </is>
      </c>
      <c r="B411" s="2" t="inlineStr">
        <is>
          <t>Maria Santos</t>
        </is>
      </c>
      <c r="C411" s="2" t="inlineStr">
        <is>
          <t>South</t>
        </is>
      </c>
      <c r="D411" s="2" t="inlineStr">
        <is>
          <t>Q3</t>
        </is>
      </c>
      <c r="E411" s="2" t="inlineStr">
        <is>
          <t>Add-on Services</t>
        </is>
      </c>
      <c r="F411" s="3" t="n">
        <v>5348</v>
      </c>
      <c r="G411" s="2" t="inlineStr">
        <is>
          <t>N</t>
        </is>
      </c>
    </row>
    <row r="412">
      <c r="A412" s="2" t="inlineStr">
        <is>
          <t>D-0411</t>
        </is>
      </c>
      <c r="B412" s="2" t="inlineStr">
        <is>
          <t>Maria Santos</t>
        </is>
      </c>
      <c r="C412" s="2" t="inlineStr">
        <is>
          <t>South</t>
        </is>
      </c>
      <c r="D412" s="2" t="inlineStr">
        <is>
          <t>Q3</t>
        </is>
      </c>
      <c r="E412" s="2" t="inlineStr">
        <is>
          <t>Add-on Services</t>
        </is>
      </c>
      <c r="F412" s="3" t="n">
        <v>10199</v>
      </c>
      <c r="G412" s="2" t="inlineStr">
        <is>
          <t>N</t>
        </is>
      </c>
    </row>
    <row r="413">
      <c r="A413" s="2" t="inlineStr">
        <is>
          <t>D-0412</t>
        </is>
      </c>
      <c r="B413" s="2" t="inlineStr">
        <is>
          <t>Maria Santos</t>
        </is>
      </c>
      <c r="C413" s="2" t="inlineStr">
        <is>
          <t>South</t>
        </is>
      </c>
      <c r="D413" s="2" t="inlineStr">
        <is>
          <t>Q3</t>
        </is>
      </c>
      <c r="E413" s="2" t="inlineStr">
        <is>
          <t>Core Platform</t>
        </is>
      </c>
      <c r="F413" s="3" t="n">
        <v>21767</v>
      </c>
      <c r="G413" s="2" t="inlineStr">
        <is>
          <t>N</t>
        </is>
      </c>
    </row>
    <row r="414">
      <c r="A414" s="2" t="inlineStr">
        <is>
          <t>D-0413</t>
        </is>
      </c>
      <c r="B414" s="2" t="inlineStr">
        <is>
          <t>Maria Santos</t>
        </is>
      </c>
      <c r="C414" s="2" t="inlineStr">
        <is>
          <t>South</t>
        </is>
      </c>
      <c r="D414" s="2" t="inlineStr">
        <is>
          <t>Q3</t>
        </is>
      </c>
      <c r="E414" s="2" t="inlineStr">
        <is>
          <t>Core Platform</t>
        </is>
      </c>
      <c r="F414" s="3" t="n">
        <v>6468</v>
      </c>
      <c r="G414" s="2" t="inlineStr">
        <is>
          <t>N</t>
        </is>
      </c>
    </row>
    <row r="415">
      <c r="A415" s="2" t="inlineStr">
        <is>
          <t>D-0414</t>
        </is>
      </c>
      <c r="B415" s="2" t="inlineStr">
        <is>
          <t>Maria Santos</t>
        </is>
      </c>
      <c r="C415" s="2" t="inlineStr">
        <is>
          <t>South</t>
        </is>
      </c>
      <c r="D415" s="2" t="inlineStr">
        <is>
          <t>Q3</t>
        </is>
      </c>
      <c r="E415" s="2" t="inlineStr">
        <is>
          <t>Core Platform</t>
        </is>
      </c>
      <c r="F415" s="3" t="n">
        <v>45275</v>
      </c>
      <c r="G415" s="2" t="inlineStr">
        <is>
          <t>Y</t>
        </is>
      </c>
    </row>
    <row r="416">
      <c r="A416" s="2" t="inlineStr">
        <is>
          <t>D-0415</t>
        </is>
      </c>
      <c r="B416" s="2" t="inlineStr">
        <is>
          <t>Maria Santos</t>
        </is>
      </c>
      <c r="C416" s="2" t="inlineStr">
        <is>
          <t>South</t>
        </is>
      </c>
      <c r="D416" s="2" t="inlineStr">
        <is>
          <t>Q3</t>
        </is>
      </c>
      <c r="E416" s="2" t="inlineStr">
        <is>
          <t>Core Platform</t>
        </is>
      </c>
      <c r="F416" s="3" t="n">
        <v>19777</v>
      </c>
      <c r="G416" s="2" t="inlineStr">
        <is>
          <t>N</t>
        </is>
      </c>
    </row>
    <row r="417">
      <c r="A417" s="2" t="inlineStr">
        <is>
          <t>D-0416</t>
        </is>
      </c>
      <c r="B417" s="2" t="inlineStr">
        <is>
          <t>Maria Santos</t>
        </is>
      </c>
      <c r="C417" s="2" t="inlineStr">
        <is>
          <t>South</t>
        </is>
      </c>
      <c r="D417" s="2" t="inlineStr">
        <is>
          <t>Q3</t>
        </is>
      </c>
      <c r="E417" s="2" t="inlineStr">
        <is>
          <t>Core Platform</t>
        </is>
      </c>
      <c r="F417" s="3" t="n">
        <v>11941</v>
      </c>
      <c r="G417" s="2" t="inlineStr">
        <is>
          <t>N</t>
        </is>
      </c>
    </row>
    <row r="418">
      <c r="A418" s="2" t="inlineStr">
        <is>
          <t>D-0417</t>
        </is>
      </c>
      <c r="B418" s="2" t="inlineStr">
        <is>
          <t>Maria Santos</t>
        </is>
      </c>
      <c r="C418" s="2" t="inlineStr">
        <is>
          <t>South</t>
        </is>
      </c>
      <c r="D418" s="2" t="inlineStr">
        <is>
          <t>Q3</t>
        </is>
      </c>
      <c r="E418" s="2" t="inlineStr">
        <is>
          <t>Enterprise Suite</t>
        </is>
      </c>
      <c r="F418" s="3" t="n">
        <v>47017</v>
      </c>
      <c r="G418" s="2" t="inlineStr">
        <is>
          <t>N</t>
        </is>
      </c>
    </row>
    <row r="419">
      <c r="A419" s="2" t="inlineStr">
        <is>
          <t>D-0418</t>
        </is>
      </c>
      <c r="B419" s="2" t="inlineStr">
        <is>
          <t>Maria Santos</t>
        </is>
      </c>
      <c r="C419" s="2" t="inlineStr">
        <is>
          <t>South</t>
        </is>
      </c>
      <c r="D419" s="2" t="inlineStr">
        <is>
          <t>Q3</t>
        </is>
      </c>
      <c r="E419" s="2" t="inlineStr">
        <is>
          <t>Core Platform</t>
        </is>
      </c>
      <c r="F419" s="3" t="n">
        <v>42166</v>
      </c>
      <c r="G419" s="2" t="inlineStr">
        <is>
          <t>N</t>
        </is>
      </c>
    </row>
    <row r="420">
      <c r="A420" s="2" t="inlineStr">
        <is>
          <t>D-0419</t>
        </is>
      </c>
      <c r="B420" s="2" t="inlineStr">
        <is>
          <t>Maria Santos</t>
        </is>
      </c>
      <c r="C420" s="2" t="inlineStr">
        <is>
          <t>South</t>
        </is>
      </c>
      <c r="D420" s="2" t="inlineStr">
        <is>
          <t>Q3</t>
        </is>
      </c>
      <c r="E420" s="2" t="inlineStr">
        <is>
          <t>Core Platform</t>
        </is>
      </c>
      <c r="F420" s="3" t="n">
        <v>12811</v>
      </c>
      <c r="G420" s="2" t="inlineStr">
        <is>
          <t>N</t>
        </is>
      </c>
    </row>
    <row r="421">
      <c r="A421" s="2" t="inlineStr">
        <is>
          <t>D-0420</t>
        </is>
      </c>
      <c r="B421" s="2" t="inlineStr">
        <is>
          <t>Maria Santos</t>
        </is>
      </c>
      <c r="C421" s="2" t="inlineStr">
        <is>
          <t>South</t>
        </is>
      </c>
      <c r="D421" s="2" t="inlineStr">
        <is>
          <t>Q3</t>
        </is>
      </c>
      <c r="E421" s="2" t="inlineStr">
        <is>
          <t>Add-on Services</t>
        </is>
      </c>
      <c r="F421" s="3" t="n">
        <v>15921</v>
      </c>
      <c r="G421" s="2" t="inlineStr">
        <is>
          <t>N</t>
        </is>
      </c>
    </row>
    <row r="422">
      <c r="A422" s="2" t="inlineStr">
        <is>
          <t>D-0421</t>
        </is>
      </c>
      <c r="B422" s="2" t="inlineStr">
        <is>
          <t>Maria Santos</t>
        </is>
      </c>
      <c r="C422" s="2" t="inlineStr">
        <is>
          <t>South</t>
        </is>
      </c>
      <c r="D422" s="2" t="inlineStr">
        <is>
          <t>Q3</t>
        </is>
      </c>
      <c r="E422" s="2" t="inlineStr">
        <is>
          <t>Core Platform</t>
        </is>
      </c>
      <c r="F422" s="3" t="n">
        <v>13558</v>
      </c>
      <c r="G422" s="2" t="inlineStr">
        <is>
          <t>N</t>
        </is>
      </c>
    </row>
    <row r="423">
      <c r="A423" s="2" t="inlineStr">
        <is>
          <t>D-0422</t>
        </is>
      </c>
      <c r="B423" s="2" t="inlineStr">
        <is>
          <t>Maria Santos</t>
        </is>
      </c>
      <c r="C423" s="2" t="inlineStr">
        <is>
          <t>South</t>
        </is>
      </c>
      <c r="D423" s="2" t="inlineStr">
        <is>
          <t>Q3</t>
        </is>
      </c>
      <c r="E423" s="2" t="inlineStr">
        <is>
          <t>Core Platform</t>
        </is>
      </c>
      <c r="F423" s="3" t="n">
        <v>23508</v>
      </c>
      <c r="G423" s="2" t="inlineStr">
        <is>
          <t>Y</t>
        </is>
      </c>
    </row>
    <row r="424">
      <c r="A424" s="2" t="inlineStr">
        <is>
          <t>D-0423</t>
        </is>
      </c>
      <c r="B424" s="2" t="inlineStr">
        <is>
          <t>Maria Santos</t>
        </is>
      </c>
      <c r="C424" s="2" t="inlineStr">
        <is>
          <t>South</t>
        </is>
      </c>
      <c r="D424" s="2" t="inlineStr">
        <is>
          <t>Q3</t>
        </is>
      </c>
      <c r="E424" s="2" t="inlineStr">
        <is>
          <t>Add-on Services</t>
        </is>
      </c>
      <c r="F424" s="3" t="n">
        <v>3980</v>
      </c>
      <c r="G424" s="2" t="inlineStr">
        <is>
          <t>N</t>
        </is>
      </c>
    </row>
    <row r="425">
      <c r="A425" s="2" t="inlineStr">
        <is>
          <t>D-0424</t>
        </is>
      </c>
      <c r="B425" s="2" t="inlineStr">
        <is>
          <t>Maria Santos</t>
        </is>
      </c>
      <c r="C425" s="2" t="inlineStr">
        <is>
          <t>South</t>
        </is>
      </c>
      <c r="D425" s="2" t="inlineStr">
        <is>
          <t>Q3</t>
        </is>
      </c>
      <c r="E425" s="2" t="inlineStr">
        <is>
          <t>Add-on Services</t>
        </is>
      </c>
      <c r="F425" s="3" t="n">
        <v>18284</v>
      </c>
      <c r="G425" s="2" t="inlineStr">
        <is>
          <t>N</t>
        </is>
      </c>
    </row>
    <row r="426">
      <c r="A426" s="2" t="inlineStr">
        <is>
          <t>D-0425</t>
        </is>
      </c>
      <c r="B426" s="2" t="inlineStr">
        <is>
          <t>Maria Santos</t>
        </is>
      </c>
      <c r="C426" s="2" t="inlineStr">
        <is>
          <t>South</t>
        </is>
      </c>
      <c r="D426" s="2" t="inlineStr">
        <is>
          <t>Q3</t>
        </is>
      </c>
      <c r="E426" s="2" t="inlineStr">
        <is>
          <t>Add-on Services</t>
        </is>
      </c>
      <c r="F426" s="3" t="n">
        <v>7961</v>
      </c>
      <c r="G426" s="2" t="inlineStr">
        <is>
          <t>Y</t>
        </is>
      </c>
    </row>
    <row r="427">
      <c r="A427" s="2" t="inlineStr">
        <is>
          <t>D-0426</t>
        </is>
      </c>
      <c r="B427" s="2" t="inlineStr">
        <is>
          <t>Maria Santos</t>
        </is>
      </c>
      <c r="C427" s="2" t="inlineStr">
        <is>
          <t>South</t>
        </is>
      </c>
      <c r="D427" s="2" t="inlineStr">
        <is>
          <t>Q3</t>
        </is>
      </c>
      <c r="E427" s="2" t="inlineStr">
        <is>
          <t>Core Platform</t>
        </is>
      </c>
      <c r="F427" s="3" t="n">
        <v>6717</v>
      </c>
      <c r="G427" s="2" t="inlineStr">
        <is>
          <t>N</t>
        </is>
      </c>
    </row>
    <row r="428">
      <c r="A428" s="2" t="inlineStr">
        <is>
          <t>D-0427</t>
        </is>
      </c>
      <c r="B428" s="2" t="inlineStr">
        <is>
          <t>Maria Santos</t>
        </is>
      </c>
      <c r="C428" s="2" t="inlineStr">
        <is>
          <t>South</t>
        </is>
      </c>
      <c r="D428" s="2" t="inlineStr">
        <is>
          <t>Q3</t>
        </is>
      </c>
      <c r="E428" s="2" t="inlineStr">
        <is>
          <t>Add-on Services</t>
        </is>
      </c>
      <c r="F428" s="3" t="n">
        <v>9702</v>
      </c>
      <c r="G428" s="2" t="inlineStr">
        <is>
          <t>N</t>
        </is>
      </c>
    </row>
    <row r="429">
      <c r="A429" s="2" t="inlineStr">
        <is>
          <t>D-0428</t>
        </is>
      </c>
      <c r="B429" s="2" t="inlineStr">
        <is>
          <t>Maria Santos</t>
        </is>
      </c>
      <c r="C429" s="2" t="inlineStr">
        <is>
          <t>South</t>
        </is>
      </c>
      <c r="D429" s="2" t="inlineStr">
        <is>
          <t>Q4</t>
        </is>
      </c>
      <c r="E429" s="2" t="inlineStr">
        <is>
          <t>Core Platform</t>
        </is>
      </c>
      <c r="F429" s="3" t="n">
        <v>24974</v>
      </c>
      <c r="G429" s="2" t="inlineStr">
        <is>
          <t>N</t>
        </is>
      </c>
    </row>
    <row r="430">
      <c r="A430" s="2" t="inlineStr">
        <is>
          <t>D-0429</t>
        </is>
      </c>
      <c r="B430" s="2" t="inlineStr">
        <is>
          <t>Maria Santos</t>
        </is>
      </c>
      <c r="C430" s="2" t="inlineStr">
        <is>
          <t>South</t>
        </is>
      </c>
      <c r="D430" s="2" t="inlineStr">
        <is>
          <t>Q4</t>
        </is>
      </c>
      <c r="E430" s="2" t="inlineStr">
        <is>
          <t>Add-on Services</t>
        </is>
      </c>
      <c r="F430" s="3" t="n">
        <v>4076</v>
      </c>
      <c r="G430" s="2" t="inlineStr">
        <is>
          <t>Y</t>
        </is>
      </c>
    </row>
    <row r="431">
      <c r="A431" s="2" t="inlineStr">
        <is>
          <t>D-0430</t>
        </is>
      </c>
      <c r="B431" s="2" t="inlineStr">
        <is>
          <t>Maria Santos</t>
        </is>
      </c>
      <c r="C431" s="2" t="inlineStr">
        <is>
          <t>South</t>
        </is>
      </c>
      <c r="D431" s="2" t="inlineStr">
        <is>
          <t>Q4</t>
        </is>
      </c>
      <c r="E431" s="2" t="inlineStr">
        <is>
          <t>Core Platform</t>
        </is>
      </c>
      <c r="F431" s="3" t="n">
        <v>6590</v>
      </c>
      <c r="G431" s="2" t="inlineStr">
        <is>
          <t>N</t>
        </is>
      </c>
    </row>
    <row r="432">
      <c r="A432" s="2" t="inlineStr">
        <is>
          <t>D-0431</t>
        </is>
      </c>
      <c r="B432" s="2" t="inlineStr">
        <is>
          <t>Maria Santos</t>
        </is>
      </c>
      <c r="C432" s="2" t="inlineStr">
        <is>
          <t>South</t>
        </is>
      </c>
      <c r="D432" s="2" t="inlineStr">
        <is>
          <t>Q4</t>
        </is>
      </c>
      <c r="E432" s="2" t="inlineStr">
        <is>
          <t>Core Platform</t>
        </is>
      </c>
      <c r="F432" s="3" t="n">
        <v>8672</v>
      </c>
      <c r="G432" s="2" t="inlineStr">
        <is>
          <t>N</t>
        </is>
      </c>
    </row>
    <row r="433">
      <c r="A433" s="2" t="inlineStr">
        <is>
          <t>D-0432</t>
        </is>
      </c>
      <c r="B433" s="2" t="inlineStr">
        <is>
          <t>Maria Santos</t>
        </is>
      </c>
      <c r="C433" s="2" t="inlineStr">
        <is>
          <t>South</t>
        </is>
      </c>
      <c r="D433" s="2" t="inlineStr">
        <is>
          <t>Q4</t>
        </is>
      </c>
      <c r="E433" s="2" t="inlineStr">
        <is>
          <t>Add-on Services</t>
        </is>
      </c>
      <c r="F433" s="3" t="n">
        <v>4249</v>
      </c>
      <c r="G433" s="2" t="inlineStr">
        <is>
          <t>N</t>
        </is>
      </c>
    </row>
    <row r="434">
      <c r="A434" s="2" t="inlineStr">
        <is>
          <t>D-0433</t>
        </is>
      </c>
      <c r="B434" s="2" t="inlineStr">
        <is>
          <t>Maria Santos</t>
        </is>
      </c>
      <c r="C434" s="2" t="inlineStr">
        <is>
          <t>South</t>
        </is>
      </c>
      <c r="D434" s="2" t="inlineStr">
        <is>
          <t>Q4</t>
        </is>
      </c>
      <c r="E434" s="2" t="inlineStr">
        <is>
          <t>Enterprise Suite</t>
        </is>
      </c>
      <c r="F434" s="3" t="n">
        <v>35033</v>
      </c>
      <c r="G434" s="2" t="inlineStr">
        <is>
          <t>N</t>
        </is>
      </c>
    </row>
    <row r="435">
      <c r="A435" s="2" t="inlineStr">
        <is>
          <t>D-0434</t>
        </is>
      </c>
      <c r="B435" s="2" t="inlineStr">
        <is>
          <t>Maria Santos</t>
        </is>
      </c>
      <c r="C435" s="2" t="inlineStr">
        <is>
          <t>South</t>
        </is>
      </c>
      <c r="D435" s="2" t="inlineStr">
        <is>
          <t>Q4</t>
        </is>
      </c>
      <c r="E435" s="2" t="inlineStr">
        <is>
          <t>Core Platform</t>
        </is>
      </c>
      <c r="F435" s="3" t="n">
        <v>27576</v>
      </c>
      <c r="G435" s="2" t="inlineStr">
        <is>
          <t>N</t>
        </is>
      </c>
    </row>
    <row r="436">
      <c r="A436" s="2" t="inlineStr">
        <is>
          <t>D-0435</t>
        </is>
      </c>
      <c r="B436" s="2" t="inlineStr">
        <is>
          <t>Maria Santos</t>
        </is>
      </c>
      <c r="C436" s="2" t="inlineStr">
        <is>
          <t>South</t>
        </is>
      </c>
      <c r="D436" s="2" t="inlineStr">
        <is>
          <t>Q4</t>
        </is>
      </c>
      <c r="E436" s="2" t="inlineStr">
        <is>
          <t>Core Platform</t>
        </is>
      </c>
      <c r="F436" s="3" t="n">
        <v>6417</v>
      </c>
      <c r="G436" s="2" t="inlineStr">
        <is>
          <t>N</t>
        </is>
      </c>
    </row>
    <row r="437">
      <c r="A437" s="2" t="inlineStr">
        <is>
          <t>D-0436</t>
        </is>
      </c>
      <c r="B437" s="2" t="inlineStr">
        <is>
          <t>Maria Santos</t>
        </is>
      </c>
      <c r="C437" s="2" t="inlineStr">
        <is>
          <t>South</t>
        </is>
      </c>
      <c r="D437" s="2" t="inlineStr">
        <is>
          <t>Q4</t>
        </is>
      </c>
      <c r="E437" s="2" t="inlineStr">
        <is>
          <t>Core Platform</t>
        </is>
      </c>
      <c r="F437" s="3" t="n">
        <v>19511</v>
      </c>
      <c r="G437" s="2" t="inlineStr">
        <is>
          <t>N</t>
        </is>
      </c>
    </row>
    <row r="438">
      <c r="A438" s="2" t="inlineStr">
        <is>
          <t>D-0437</t>
        </is>
      </c>
      <c r="B438" s="2" t="inlineStr">
        <is>
          <t>Maria Santos</t>
        </is>
      </c>
      <c r="C438" s="2" t="inlineStr">
        <is>
          <t>South</t>
        </is>
      </c>
      <c r="D438" s="2" t="inlineStr">
        <is>
          <t>Q4</t>
        </is>
      </c>
      <c r="E438" s="2" t="inlineStr">
        <is>
          <t>Enterprise Suite</t>
        </is>
      </c>
      <c r="F438" s="3" t="n">
        <v>60355</v>
      </c>
      <c r="G438" s="2" t="inlineStr">
        <is>
          <t>Y</t>
        </is>
      </c>
    </row>
    <row r="439">
      <c r="A439" s="2" t="inlineStr">
        <is>
          <t>D-0438</t>
        </is>
      </c>
      <c r="B439" s="2" t="inlineStr">
        <is>
          <t>Maria Santos</t>
        </is>
      </c>
      <c r="C439" s="2" t="inlineStr">
        <is>
          <t>South</t>
        </is>
      </c>
      <c r="D439" s="2" t="inlineStr">
        <is>
          <t>Q4</t>
        </is>
      </c>
      <c r="E439" s="2" t="inlineStr">
        <is>
          <t>Add-on Services</t>
        </is>
      </c>
      <c r="F439" s="3" t="n">
        <v>5116</v>
      </c>
      <c r="G439" s="2" t="inlineStr">
        <is>
          <t>N</t>
        </is>
      </c>
    </row>
    <row r="440">
      <c r="A440" s="2" t="inlineStr">
        <is>
          <t>D-0439</t>
        </is>
      </c>
      <c r="B440" s="2" t="inlineStr">
        <is>
          <t>Maria Santos</t>
        </is>
      </c>
      <c r="C440" s="2" t="inlineStr">
        <is>
          <t>South</t>
        </is>
      </c>
      <c r="D440" s="2" t="inlineStr">
        <is>
          <t>Q4</t>
        </is>
      </c>
      <c r="E440" s="2" t="inlineStr">
        <is>
          <t>Add-on Services</t>
        </is>
      </c>
      <c r="F440" s="3" t="n">
        <v>1734</v>
      </c>
      <c r="G440" s="2" t="inlineStr">
        <is>
          <t>Y</t>
        </is>
      </c>
    </row>
    <row r="441">
      <c r="A441" s="2" t="inlineStr">
        <is>
          <t>D-0440</t>
        </is>
      </c>
      <c r="B441" s="2" t="inlineStr">
        <is>
          <t>Maria Santos</t>
        </is>
      </c>
      <c r="C441" s="2" t="inlineStr">
        <is>
          <t>South</t>
        </is>
      </c>
      <c r="D441" s="2" t="inlineStr">
        <is>
          <t>Q4</t>
        </is>
      </c>
      <c r="E441" s="2" t="inlineStr">
        <is>
          <t>Core Platform</t>
        </is>
      </c>
      <c r="F441" s="3" t="n">
        <v>24541</v>
      </c>
      <c r="G441" s="2" t="inlineStr">
        <is>
          <t>N</t>
        </is>
      </c>
    </row>
    <row r="442">
      <c r="A442" s="2" t="inlineStr">
        <is>
          <t>D-0441</t>
        </is>
      </c>
      <c r="B442" s="2" t="inlineStr">
        <is>
          <t>Maria Santos</t>
        </is>
      </c>
      <c r="C442" s="2" t="inlineStr">
        <is>
          <t>South</t>
        </is>
      </c>
      <c r="D442" s="2" t="inlineStr">
        <is>
          <t>Q4</t>
        </is>
      </c>
      <c r="E442" s="2" t="inlineStr">
        <is>
          <t>Enterprise Suite</t>
        </is>
      </c>
      <c r="F442" s="3" t="n">
        <v>93567</v>
      </c>
      <c r="G442" s="2" t="inlineStr">
        <is>
          <t>N</t>
        </is>
      </c>
    </row>
    <row r="443">
      <c r="A443" s="2" t="inlineStr">
        <is>
          <t>D-0442</t>
        </is>
      </c>
      <c r="B443" s="2" t="inlineStr">
        <is>
          <t>Maria Santos</t>
        </is>
      </c>
      <c r="C443" s="2" t="inlineStr">
        <is>
          <t>South</t>
        </is>
      </c>
      <c r="D443" s="2" t="inlineStr">
        <is>
          <t>Q4</t>
        </is>
      </c>
      <c r="E443" s="2" t="inlineStr">
        <is>
          <t>Core Platform</t>
        </is>
      </c>
      <c r="F443" s="3" t="n">
        <v>15869</v>
      </c>
      <c r="G443" s="2" t="inlineStr">
        <is>
          <t>N</t>
        </is>
      </c>
    </row>
    <row r="444">
      <c r="A444" s="2" t="inlineStr">
        <is>
          <t>D-0443</t>
        </is>
      </c>
      <c r="B444" s="2" t="inlineStr">
        <is>
          <t>James Park</t>
        </is>
      </c>
      <c r="C444" s="2" t="inlineStr">
        <is>
          <t>South</t>
        </is>
      </c>
      <c r="D444" s="2" t="inlineStr">
        <is>
          <t>Q1</t>
        </is>
      </c>
      <c r="E444" s="2" t="inlineStr">
        <is>
          <t>Enterprise Suite</t>
        </is>
      </c>
      <c r="F444" s="3" t="n">
        <v>24000</v>
      </c>
      <c r="G444" s="2" t="inlineStr">
        <is>
          <t>N</t>
        </is>
      </c>
    </row>
    <row r="445">
      <c r="A445" s="2" t="inlineStr">
        <is>
          <t>D-0444</t>
        </is>
      </c>
      <c r="B445" s="2" t="inlineStr">
        <is>
          <t>James Park</t>
        </is>
      </c>
      <c r="C445" s="2" t="inlineStr">
        <is>
          <t>South</t>
        </is>
      </c>
      <c r="D445" s="2" t="inlineStr">
        <is>
          <t>Q1</t>
        </is>
      </c>
      <c r="E445" s="2" t="inlineStr">
        <is>
          <t>Enterprise Suite</t>
        </is>
      </c>
      <c r="F445" s="3" t="n">
        <v>54247</v>
      </c>
      <c r="G445" s="2" t="inlineStr">
        <is>
          <t>N</t>
        </is>
      </c>
    </row>
    <row r="446">
      <c r="A446" s="2" t="inlineStr">
        <is>
          <t>D-0445</t>
        </is>
      </c>
      <c r="B446" s="2" t="inlineStr">
        <is>
          <t>James Park</t>
        </is>
      </c>
      <c r="C446" s="2" t="inlineStr">
        <is>
          <t>South</t>
        </is>
      </c>
      <c r="D446" s="2" t="inlineStr">
        <is>
          <t>Q1</t>
        </is>
      </c>
      <c r="E446" s="2" t="inlineStr">
        <is>
          <t>Core Platform</t>
        </is>
      </c>
      <c r="F446" s="3" t="n">
        <v>6444</v>
      </c>
      <c r="G446" s="2" t="inlineStr">
        <is>
          <t>Y</t>
        </is>
      </c>
    </row>
    <row r="447">
      <c r="A447" s="2" t="inlineStr">
        <is>
          <t>D-0446</t>
        </is>
      </c>
      <c r="B447" s="2" t="inlineStr">
        <is>
          <t>James Park</t>
        </is>
      </c>
      <c r="C447" s="2" t="inlineStr">
        <is>
          <t>South</t>
        </is>
      </c>
      <c r="D447" s="2" t="inlineStr">
        <is>
          <t>Q1</t>
        </is>
      </c>
      <c r="E447" s="2" t="inlineStr">
        <is>
          <t>Enterprise Suite</t>
        </is>
      </c>
      <c r="F447" s="3" t="n">
        <v>113227</v>
      </c>
      <c r="G447" s="2" t="inlineStr">
        <is>
          <t>Y</t>
        </is>
      </c>
    </row>
    <row r="448">
      <c r="A448" s="2" t="inlineStr">
        <is>
          <t>D-0447</t>
        </is>
      </c>
      <c r="B448" s="2" t="inlineStr">
        <is>
          <t>James Park</t>
        </is>
      </c>
      <c r="C448" s="2" t="inlineStr">
        <is>
          <t>South</t>
        </is>
      </c>
      <c r="D448" s="2" t="inlineStr">
        <is>
          <t>Q1</t>
        </is>
      </c>
      <c r="E448" s="2" t="inlineStr">
        <is>
          <t>Enterprise Suite</t>
        </is>
      </c>
      <c r="F448" s="3" t="n">
        <v>19463</v>
      </c>
      <c r="G448" s="2" t="inlineStr">
        <is>
          <t>Y</t>
        </is>
      </c>
    </row>
    <row r="449">
      <c r="A449" s="2" t="inlineStr">
        <is>
          <t>D-0448</t>
        </is>
      </c>
      <c r="B449" s="2" t="inlineStr">
        <is>
          <t>James Park</t>
        </is>
      </c>
      <c r="C449" s="2" t="inlineStr">
        <is>
          <t>South</t>
        </is>
      </c>
      <c r="D449" s="2" t="inlineStr">
        <is>
          <t>Q1</t>
        </is>
      </c>
      <c r="E449" s="2" t="inlineStr">
        <is>
          <t>Enterprise Suite</t>
        </is>
      </c>
      <c r="F449" s="3" t="n">
        <v>19463</v>
      </c>
      <c r="G449" s="2" t="inlineStr">
        <is>
          <t>N</t>
        </is>
      </c>
    </row>
    <row r="450">
      <c r="A450" s="2" t="inlineStr">
        <is>
          <t>D-0449</t>
        </is>
      </c>
      <c r="B450" s="2" t="inlineStr">
        <is>
          <t>James Park</t>
        </is>
      </c>
      <c r="C450" s="2" t="inlineStr">
        <is>
          <t>South</t>
        </is>
      </c>
      <c r="D450" s="2" t="inlineStr">
        <is>
          <t>Q1</t>
        </is>
      </c>
      <c r="E450" s="2" t="inlineStr">
        <is>
          <t>Core Platform</t>
        </is>
      </c>
      <c r="F450" s="3" t="n">
        <v>14663</v>
      </c>
      <c r="G450" s="2" t="inlineStr">
        <is>
          <t>N</t>
        </is>
      </c>
    </row>
    <row r="451">
      <c r="A451" s="2" t="inlineStr">
        <is>
          <t>D-0450</t>
        </is>
      </c>
      <c r="B451" s="2" t="inlineStr">
        <is>
          <t>James Park</t>
        </is>
      </c>
      <c r="C451" s="2" t="inlineStr">
        <is>
          <t>South</t>
        </is>
      </c>
      <c r="D451" s="2" t="inlineStr">
        <is>
          <t>Q1</t>
        </is>
      </c>
      <c r="E451" s="2" t="inlineStr">
        <is>
          <t>Add-on Services</t>
        </is>
      </c>
      <c r="F451" s="3" t="n">
        <v>1775</v>
      </c>
      <c r="G451" s="2" t="inlineStr">
        <is>
          <t>N</t>
        </is>
      </c>
    </row>
    <row r="452">
      <c r="A452" s="2" t="inlineStr">
        <is>
          <t>D-0451</t>
        </is>
      </c>
      <c r="B452" s="2" t="inlineStr">
        <is>
          <t>James Park</t>
        </is>
      </c>
      <c r="C452" s="2" t="inlineStr">
        <is>
          <t>South</t>
        </is>
      </c>
      <c r="D452" s="2" t="inlineStr">
        <is>
          <t>Q1</t>
        </is>
      </c>
      <c r="E452" s="2" t="inlineStr">
        <is>
          <t>Core Platform</t>
        </is>
      </c>
      <c r="F452" s="3" t="n">
        <v>15847</v>
      </c>
      <c r="G452" s="2" t="inlineStr">
        <is>
          <t>N</t>
        </is>
      </c>
    </row>
    <row r="453">
      <c r="A453" s="2" t="inlineStr">
        <is>
          <t>D-0452</t>
        </is>
      </c>
      <c r="B453" s="2" t="inlineStr">
        <is>
          <t>James Park</t>
        </is>
      </c>
      <c r="C453" s="2" t="inlineStr">
        <is>
          <t>South</t>
        </is>
      </c>
      <c r="D453" s="2" t="inlineStr">
        <is>
          <t>Q1</t>
        </is>
      </c>
      <c r="E453" s="2" t="inlineStr">
        <is>
          <t>Core Platform</t>
        </is>
      </c>
      <c r="F453" s="3" t="n">
        <v>18674</v>
      </c>
      <c r="G453" s="2" t="inlineStr">
        <is>
          <t>N</t>
        </is>
      </c>
    </row>
    <row r="454">
      <c r="A454" s="2" t="inlineStr">
        <is>
          <t>D-0453</t>
        </is>
      </c>
      <c r="B454" s="2" t="inlineStr">
        <is>
          <t>James Park</t>
        </is>
      </c>
      <c r="C454" s="2" t="inlineStr">
        <is>
          <t>South</t>
        </is>
      </c>
      <c r="D454" s="2" t="inlineStr">
        <is>
          <t>Q1</t>
        </is>
      </c>
      <c r="E454" s="2" t="inlineStr">
        <is>
          <t>Core Platform</t>
        </is>
      </c>
      <c r="F454" s="3" t="n">
        <v>14268</v>
      </c>
      <c r="G454" s="2" t="inlineStr">
        <is>
          <t>Y</t>
        </is>
      </c>
    </row>
    <row r="455">
      <c r="A455" s="2" t="inlineStr">
        <is>
          <t>D-0454</t>
        </is>
      </c>
      <c r="B455" s="2" t="inlineStr">
        <is>
          <t>James Park</t>
        </is>
      </c>
      <c r="C455" s="2" t="inlineStr">
        <is>
          <t>South</t>
        </is>
      </c>
      <c r="D455" s="2" t="inlineStr">
        <is>
          <t>Q1</t>
        </is>
      </c>
      <c r="E455" s="2" t="inlineStr">
        <is>
          <t>Add-on Services</t>
        </is>
      </c>
      <c r="F455" s="3" t="n">
        <v>5523</v>
      </c>
      <c r="G455" s="2" t="inlineStr">
        <is>
          <t>N</t>
        </is>
      </c>
    </row>
    <row r="456">
      <c r="A456" s="2" t="inlineStr">
        <is>
          <t>D-0455</t>
        </is>
      </c>
      <c r="B456" s="2" t="inlineStr">
        <is>
          <t>James Park</t>
        </is>
      </c>
      <c r="C456" s="2" t="inlineStr">
        <is>
          <t>South</t>
        </is>
      </c>
      <c r="D456" s="2" t="inlineStr">
        <is>
          <t>Q2</t>
        </is>
      </c>
      <c r="E456" s="2" t="inlineStr">
        <is>
          <t>Add-on Services</t>
        </is>
      </c>
      <c r="F456" s="3" t="n">
        <v>8517</v>
      </c>
      <c r="G456" s="2" t="inlineStr">
        <is>
          <t>Y</t>
        </is>
      </c>
    </row>
    <row r="457">
      <c r="A457" s="2" t="inlineStr">
        <is>
          <t>D-0456</t>
        </is>
      </c>
      <c r="B457" s="2" t="inlineStr">
        <is>
          <t>James Park</t>
        </is>
      </c>
      <c r="C457" s="2" t="inlineStr">
        <is>
          <t>South</t>
        </is>
      </c>
      <c r="D457" s="2" t="inlineStr">
        <is>
          <t>Q2</t>
        </is>
      </c>
      <c r="E457" s="2" t="inlineStr">
        <is>
          <t>Add-on Services</t>
        </is>
      </c>
      <c r="F457" s="3" t="n">
        <v>9430</v>
      </c>
      <c r="G457" s="2" t="inlineStr">
        <is>
          <t>N</t>
        </is>
      </c>
    </row>
    <row r="458">
      <c r="A458" s="2" t="inlineStr">
        <is>
          <t>D-0457</t>
        </is>
      </c>
      <c r="B458" s="2" t="inlineStr">
        <is>
          <t>James Park</t>
        </is>
      </c>
      <c r="C458" s="2" t="inlineStr">
        <is>
          <t>South</t>
        </is>
      </c>
      <c r="D458" s="2" t="inlineStr">
        <is>
          <t>Q2</t>
        </is>
      </c>
      <c r="E458" s="2" t="inlineStr">
        <is>
          <t>Add-on Services</t>
        </is>
      </c>
      <c r="F458" s="3" t="n">
        <v>11863</v>
      </c>
      <c r="G458" s="2" t="inlineStr">
        <is>
          <t>N</t>
        </is>
      </c>
    </row>
    <row r="459">
      <c r="A459" s="2" t="inlineStr">
        <is>
          <t>D-0458</t>
        </is>
      </c>
      <c r="B459" s="2" t="inlineStr">
        <is>
          <t>James Park</t>
        </is>
      </c>
      <c r="C459" s="2" t="inlineStr">
        <is>
          <t>South</t>
        </is>
      </c>
      <c r="D459" s="2" t="inlineStr">
        <is>
          <t>Q2</t>
        </is>
      </c>
      <c r="E459" s="2" t="inlineStr">
        <is>
          <t>Core Platform</t>
        </is>
      </c>
      <c r="F459" s="3" t="n">
        <v>35893</v>
      </c>
      <c r="G459" s="2" t="inlineStr">
        <is>
          <t>N</t>
        </is>
      </c>
    </row>
    <row r="460">
      <c r="A460" s="2" t="inlineStr">
        <is>
          <t>D-0459</t>
        </is>
      </c>
      <c r="B460" s="2" t="inlineStr">
        <is>
          <t>James Park</t>
        </is>
      </c>
      <c r="C460" s="2" t="inlineStr">
        <is>
          <t>South</t>
        </is>
      </c>
      <c r="D460" s="2" t="inlineStr">
        <is>
          <t>Q2</t>
        </is>
      </c>
      <c r="E460" s="2" t="inlineStr">
        <is>
          <t>Add-on Services</t>
        </is>
      </c>
      <c r="F460" s="3" t="n">
        <v>14905</v>
      </c>
      <c r="G460" s="2" t="inlineStr">
        <is>
          <t>Y</t>
        </is>
      </c>
    </row>
    <row r="461">
      <c r="A461" s="2" t="inlineStr">
        <is>
          <t>D-0460</t>
        </is>
      </c>
      <c r="B461" s="2" t="inlineStr">
        <is>
          <t>James Park</t>
        </is>
      </c>
      <c r="C461" s="2" t="inlineStr">
        <is>
          <t>South</t>
        </is>
      </c>
      <c r="D461" s="2" t="inlineStr">
        <is>
          <t>Q2</t>
        </is>
      </c>
      <c r="E461" s="2" t="inlineStr">
        <is>
          <t>Enterprise Suite</t>
        </is>
      </c>
      <c r="F461" s="3" t="n">
        <v>59923</v>
      </c>
      <c r="G461" s="2" t="inlineStr">
        <is>
          <t>Y</t>
        </is>
      </c>
    </row>
    <row r="462">
      <c r="A462" s="2" t="inlineStr">
        <is>
          <t>D-0461</t>
        </is>
      </c>
      <c r="B462" s="2" t="inlineStr">
        <is>
          <t>James Park</t>
        </is>
      </c>
      <c r="C462" s="2" t="inlineStr">
        <is>
          <t>South</t>
        </is>
      </c>
      <c r="D462" s="2" t="inlineStr">
        <is>
          <t>Q2</t>
        </is>
      </c>
      <c r="E462" s="2" t="inlineStr">
        <is>
          <t>Add-on Services</t>
        </is>
      </c>
      <c r="F462" s="3" t="n">
        <v>22813</v>
      </c>
      <c r="G462" s="2" t="inlineStr">
        <is>
          <t>N</t>
        </is>
      </c>
    </row>
    <row r="463">
      <c r="A463" s="2" t="inlineStr">
        <is>
          <t>D-0462</t>
        </is>
      </c>
      <c r="B463" s="2" t="inlineStr">
        <is>
          <t>James Park</t>
        </is>
      </c>
      <c r="C463" s="2" t="inlineStr">
        <is>
          <t>South</t>
        </is>
      </c>
      <c r="D463" s="2" t="inlineStr">
        <is>
          <t>Q2</t>
        </is>
      </c>
      <c r="E463" s="2" t="inlineStr">
        <is>
          <t>Core Platform</t>
        </is>
      </c>
      <c r="F463" s="3" t="n">
        <v>62965</v>
      </c>
      <c r="G463" s="2" t="inlineStr">
        <is>
          <t>N</t>
        </is>
      </c>
    </row>
    <row r="464">
      <c r="A464" s="2" t="inlineStr">
        <is>
          <t>D-0463</t>
        </is>
      </c>
      <c r="B464" s="2" t="inlineStr">
        <is>
          <t>James Park</t>
        </is>
      </c>
      <c r="C464" s="2" t="inlineStr">
        <is>
          <t>South</t>
        </is>
      </c>
      <c r="D464" s="2" t="inlineStr">
        <is>
          <t>Q2</t>
        </is>
      </c>
      <c r="E464" s="2" t="inlineStr">
        <is>
          <t>Add-on Services</t>
        </is>
      </c>
      <c r="F464" s="3" t="n">
        <v>14905</v>
      </c>
      <c r="G464" s="2" t="inlineStr">
        <is>
          <t>N</t>
        </is>
      </c>
    </row>
    <row r="465">
      <c r="A465" s="2" t="inlineStr">
        <is>
          <t>D-0464</t>
        </is>
      </c>
      <c r="B465" s="2" t="inlineStr">
        <is>
          <t>James Park</t>
        </is>
      </c>
      <c r="C465" s="2" t="inlineStr">
        <is>
          <t>South</t>
        </is>
      </c>
      <c r="D465" s="2" t="inlineStr">
        <is>
          <t>Q3</t>
        </is>
      </c>
      <c r="E465" s="2" t="inlineStr">
        <is>
          <t>Core Platform</t>
        </is>
      </c>
      <c r="F465" s="3" t="n">
        <v>40288</v>
      </c>
      <c r="G465" s="2" t="inlineStr">
        <is>
          <t>N</t>
        </is>
      </c>
    </row>
    <row r="466">
      <c r="A466" s="2" t="inlineStr">
        <is>
          <t>D-0465</t>
        </is>
      </c>
      <c r="B466" s="2" t="inlineStr">
        <is>
          <t>James Park</t>
        </is>
      </c>
      <c r="C466" s="2" t="inlineStr">
        <is>
          <t>South</t>
        </is>
      </c>
      <c r="D466" s="2" t="inlineStr">
        <is>
          <t>Q3</t>
        </is>
      </c>
      <c r="E466" s="2" t="inlineStr">
        <is>
          <t>Core Platform</t>
        </is>
      </c>
      <c r="F466" s="3" t="n">
        <v>25399</v>
      </c>
      <c r="G466" s="2" t="inlineStr">
        <is>
          <t>N</t>
        </is>
      </c>
    </row>
    <row r="467">
      <c r="A467" s="2" t="inlineStr">
        <is>
          <t>D-0466</t>
        </is>
      </c>
      <c r="B467" s="2" t="inlineStr">
        <is>
          <t>James Park</t>
        </is>
      </c>
      <c r="C467" s="2" t="inlineStr">
        <is>
          <t>South</t>
        </is>
      </c>
      <c r="D467" s="2" t="inlineStr">
        <is>
          <t>Q3</t>
        </is>
      </c>
      <c r="E467" s="2" t="inlineStr">
        <is>
          <t>Core Platform</t>
        </is>
      </c>
      <c r="F467" s="3" t="n">
        <v>21312</v>
      </c>
      <c r="G467" s="2" t="inlineStr">
        <is>
          <t>N</t>
        </is>
      </c>
    </row>
    <row r="468">
      <c r="A468" s="2" t="inlineStr">
        <is>
          <t>D-0467</t>
        </is>
      </c>
      <c r="B468" s="2" t="inlineStr">
        <is>
          <t>James Park</t>
        </is>
      </c>
      <c r="C468" s="2" t="inlineStr">
        <is>
          <t>South</t>
        </is>
      </c>
      <c r="D468" s="2" t="inlineStr">
        <is>
          <t>Q3</t>
        </is>
      </c>
      <c r="E468" s="2" t="inlineStr">
        <is>
          <t>Core Platform</t>
        </is>
      </c>
      <c r="F468" s="3" t="n">
        <v>24231</v>
      </c>
      <c r="G468" s="2" t="inlineStr">
        <is>
          <t>N</t>
        </is>
      </c>
    </row>
    <row r="469">
      <c r="A469" s="2" t="inlineStr">
        <is>
          <t>D-0468</t>
        </is>
      </c>
      <c r="B469" s="2" t="inlineStr">
        <is>
          <t>James Park</t>
        </is>
      </c>
      <c r="C469" s="2" t="inlineStr">
        <is>
          <t>South</t>
        </is>
      </c>
      <c r="D469" s="2" t="inlineStr">
        <is>
          <t>Q3</t>
        </is>
      </c>
      <c r="E469" s="2" t="inlineStr">
        <is>
          <t>Core Platform</t>
        </is>
      </c>
      <c r="F469" s="3" t="n">
        <v>31529</v>
      </c>
      <c r="G469" s="2" t="inlineStr">
        <is>
          <t>N</t>
        </is>
      </c>
    </row>
    <row r="470">
      <c r="A470" s="2" t="inlineStr">
        <is>
          <t>D-0469</t>
        </is>
      </c>
      <c r="B470" s="2" t="inlineStr">
        <is>
          <t>James Park</t>
        </is>
      </c>
      <c r="C470" s="2" t="inlineStr">
        <is>
          <t>South</t>
        </is>
      </c>
      <c r="D470" s="2" t="inlineStr">
        <is>
          <t>Q3</t>
        </is>
      </c>
      <c r="E470" s="2" t="inlineStr">
        <is>
          <t>Core Platform</t>
        </is>
      </c>
      <c r="F470" s="3" t="n">
        <v>20436</v>
      </c>
      <c r="G470" s="2" t="inlineStr">
        <is>
          <t>N</t>
        </is>
      </c>
    </row>
    <row r="471">
      <c r="A471" s="2" t="inlineStr">
        <is>
          <t>D-0470</t>
        </is>
      </c>
      <c r="B471" s="2" t="inlineStr">
        <is>
          <t>James Park</t>
        </is>
      </c>
      <c r="C471" s="2" t="inlineStr">
        <is>
          <t>South</t>
        </is>
      </c>
      <c r="D471" s="2" t="inlineStr">
        <is>
          <t>Q3</t>
        </is>
      </c>
      <c r="E471" s="2" t="inlineStr">
        <is>
          <t>Core Platform</t>
        </is>
      </c>
      <c r="F471" s="3" t="n">
        <v>46710</v>
      </c>
      <c r="G471" s="2" t="inlineStr">
        <is>
          <t>Y</t>
        </is>
      </c>
    </row>
    <row r="472">
      <c r="A472" s="2" t="inlineStr">
        <is>
          <t>D-0471</t>
        </is>
      </c>
      <c r="B472" s="2" t="inlineStr">
        <is>
          <t>James Park</t>
        </is>
      </c>
      <c r="C472" s="2" t="inlineStr">
        <is>
          <t>South</t>
        </is>
      </c>
      <c r="D472" s="2" t="inlineStr">
        <is>
          <t>Q3</t>
        </is>
      </c>
      <c r="E472" s="2" t="inlineStr">
        <is>
          <t>Core Platform</t>
        </is>
      </c>
      <c r="F472" s="3" t="n">
        <v>20436</v>
      </c>
      <c r="G472" s="2" t="inlineStr">
        <is>
          <t>N</t>
        </is>
      </c>
    </row>
    <row r="473">
      <c r="A473" s="2" t="inlineStr">
        <is>
          <t>D-0472</t>
        </is>
      </c>
      <c r="B473" s="2" t="inlineStr">
        <is>
          <t>James Park</t>
        </is>
      </c>
      <c r="C473" s="2" t="inlineStr">
        <is>
          <t>South</t>
        </is>
      </c>
      <c r="D473" s="2" t="inlineStr">
        <is>
          <t>Q3</t>
        </is>
      </c>
      <c r="E473" s="2" t="inlineStr">
        <is>
          <t>Add-on Services</t>
        </is>
      </c>
      <c r="F473" s="3" t="n">
        <v>11678</v>
      </c>
      <c r="G473" s="2" t="inlineStr">
        <is>
          <t>N</t>
        </is>
      </c>
    </row>
    <row r="474">
      <c r="A474" s="2" t="inlineStr">
        <is>
          <t>D-0473</t>
        </is>
      </c>
      <c r="B474" s="2" t="inlineStr">
        <is>
          <t>James Park</t>
        </is>
      </c>
      <c r="C474" s="2" t="inlineStr">
        <is>
          <t>South</t>
        </is>
      </c>
      <c r="D474" s="2" t="inlineStr">
        <is>
          <t>Q3</t>
        </is>
      </c>
      <c r="E474" s="2" t="inlineStr">
        <is>
          <t>Add-on Services</t>
        </is>
      </c>
      <c r="F474" s="3" t="n">
        <v>13721</v>
      </c>
      <c r="G474" s="2" t="inlineStr">
        <is>
          <t>N</t>
        </is>
      </c>
    </row>
    <row r="475">
      <c r="A475" s="2" t="inlineStr">
        <is>
          <t>D-0474</t>
        </is>
      </c>
      <c r="B475" s="2" t="inlineStr">
        <is>
          <t>James Park</t>
        </is>
      </c>
      <c r="C475" s="2" t="inlineStr">
        <is>
          <t>South</t>
        </is>
      </c>
      <c r="D475" s="2" t="inlineStr">
        <is>
          <t>Q3</t>
        </is>
      </c>
      <c r="E475" s="2" t="inlineStr">
        <is>
          <t>Add-on Services</t>
        </is>
      </c>
      <c r="F475" s="3" t="n">
        <v>10510</v>
      </c>
      <c r="G475" s="2" t="inlineStr">
        <is>
          <t>Y</t>
        </is>
      </c>
    </row>
    <row r="476">
      <c r="A476" s="2" t="inlineStr">
        <is>
          <t>D-0475</t>
        </is>
      </c>
      <c r="B476" s="2" t="inlineStr">
        <is>
          <t>James Park</t>
        </is>
      </c>
      <c r="C476" s="2" t="inlineStr">
        <is>
          <t>South</t>
        </is>
      </c>
      <c r="D476" s="2" t="inlineStr">
        <is>
          <t>Q3</t>
        </is>
      </c>
      <c r="E476" s="2" t="inlineStr">
        <is>
          <t>Add-on Services</t>
        </is>
      </c>
      <c r="F476" s="3" t="n">
        <v>11678</v>
      </c>
      <c r="G476" s="2" t="inlineStr">
        <is>
          <t>N</t>
        </is>
      </c>
    </row>
    <row r="477">
      <c r="A477" s="2" t="inlineStr">
        <is>
          <t>D-0476</t>
        </is>
      </c>
      <c r="B477" s="2" t="inlineStr">
        <is>
          <t>James Park</t>
        </is>
      </c>
      <c r="C477" s="2" t="inlineStr">
        <is>
          <t>South</t>
        </is>
      </c>
      <c r="D477" s="2" t="inlineStr">
        <is>
          <t>Q4</t>
        </is>
      </c>
      <c r="E477" s="2" t="inlineStr">
        <is>
          <t>Enterprise Suite</t>
        </is>
      </c>
      <c r="F477" s="3" t="n">
        <v>78182</v>
      </c>
      <c r="G477" s="2" t="inlineStr">
        <is>
          <t>N</t>
        </is>
      </c>
    </row>
    <row r="478">
      <c r="A478" s="2" t="inlineStr">
        <is>
          <t>D-0477</t>
        </is>
      </c>
      <c r="B478" s="2" t="inlineStr">
        <is>
          <t>James Park</t>
        </is>
      </c>
      <c r="C478" s="2" t="inlineStr">
        <is>
          <t>South</t>
        </is>
      </c>
      <c r="D478" s="2" t="inlineStr">
        <is>
          <t>Q4</t>
        </is>
      </c>
      <c r="E478" s="2" t="inlineStr">
        <is>
          <t>Core Platform</t>
        </is>
      </c>
      <c r="F478" s="3" t="n">
        <v>8837</v>
      </c>
      <c r="G478" s="2" t="inlineStr">
        <is>
          <t>Y</t>
        </is>
      </c>
    </row>
    <row r="479">
      <c r="A479" s="2" t="inlineStr">
        <is>
          <t>D-0478</t>
        </is>
      </c>
      <c r="B479" s="2" t="inlineStr">
        <is>
          <t>James Park</t>
        </is>
      </c>
      <c r="C479" s="2" t="inlineStr">
        <is>
          <t>South</t>
        </is>
      </c>
      <c r="D479" s="2" t="inlineStr">
        <is>
          <t>Q4</t>
        </is>
      </c>
      <c r="E479" s="2" t="inlineStr">
        <is>
          <t>Core Platform</t>
        </is>
      </c>
      <c r="F479" s="3" t="n">
        <v>17050</v>
      </c>
      <c r="G479" s="2" t="inlineStr">
        <is>
          <t>N</t>
        </is>
      </c>
    </row>
    <row r="480">
      <c r="A480" s="2" t="inlineStr">
        <is>
          <t>D-0479</t>
        </is>
      </c>
      <c r="B480" s="2" t="inlineStr">
        <is>
          <t>James Park</t>
        </is>
      </c>
      <c r="C480" s="2" t="inlineStr">
        <is>
          <t>South</t>
        </is>
      </c>
      <c r="D480" s="2" t="inlineStr">
        <is>
          <t>Q4</t>
        </is>
      </c>
      <c r="E480" s="2" t="inlineStr">
        <is>
          <t>Add-on Services</t>
        </is>
      </c>
      <c r="F480" s="3" t="n">
        <v>2651</v>
      </c>
      <c r="G480" s="2" t="inlineStr">
        <is>
          <t>N</t>
        </is>
      </c>
    </row>
    <row r="481">
      <c r="A481" s="2" t="inlineStr">
        <is>
          <t>D-0480</t>
        </is>
      </c>
      <c r="B481" s="2" t="inlineStr">
        <is>
          <t>James Park</t>
        </is>
      </c>
      <c r="C481" s="2" t="inlineStr">
        <is>
          <t>South</t>
        </is>
      </c>
      <c r="D481" s="2" t="inlineStr">
        <is>
          <t>Q4</t>
        </is>
      </c>
      <c r="E481" s="2" t="inlineStr">
        <is>
          <t>Enterprise Suite</t>
        </is>
      </c>
      <c r="F481" s="3" t="n">
        <v>14035</v>
      </c>
      <c r="G481" s="2" t="inlineStr">
        <is>
          <t>N</t>
        </is>
      </c>
    </row>
    <row r="482">
      <c r="A482" s="2" t="inlineStr">
        <is>
          <t>D-0481</t>
        </is>
      </c>
      <c r="B482" s="2" t="inlineStr">
        <is>
          <t>James Park</t>
        </is>
      </c>
      <c r="C482" s="2" t="inlineStr">
        <is>
          <t>South</t>
        </is>
      </c>
      <c r="D482" s="2" t="inlineStr">
        <is>
          <t>Q4</t>
        </is>
      </c>
      <c r="E482" s="2" t="inlineStr">
        <is>
          <t>Add-on Services</t>
        </is>
      </c>
      <c r="F482" s="3" t="n">
        <v>4211</v>
      </c>
      <c r="G482" s="2" t="inlineStr">
        <is>
          <t>N</t>
        </is>
      </c>
    </row>
    <row r="483">
      <c r="A483" s="2" t="inlineStr">
        <is>
          <t>D-0482</t>
        </is>
      </c>
      <c r="B483" s="2" t="inlineStr">
        <is>
          <t>James Park</t>
        </is>
      </c>
      <c r="C483" s="2" t="inlineStr">
        <is>
          <t>South</t>
        </is>
      </c>
      <c r="D483" s="2" t="inlineStr">
        <is>
          <t>Q4</t>
        </is>
      </c>
      <c r="E483" s="2" t="inlineStr">
        <is>
          <t>Add-on Services</t>
        </is>
      </c>
      <c r="F483" s="3" t="n">
        <v>3015</v>
      </c>
      <c r="G483" s="2" t="inlineStr">
        <is>
          <t>N</t>
        </is>
      </c>
    </row>
    <row r="484">
      <c r="A484" s="2" t="inlineStr">
        <is>
          <t>D-0483</t>
        </is>
      </c>
      <c r="B484" s="2" t="inlineStr">
        <is>
          <t>James Park</t>
        </is>
      </c>
      <c r="C484" s="2" t="inlineStr">
        <is>
          <t>South</t>
        </is>
      </c>
      <c r="D484" s="2" t="inlineStr">
        <is>
          <t>Q4</t>
        </is>
      </c>
      <c r="E484" s="2" t="inlineStr">
        <is>
          <t>Enterprise Suite</t>
        </is>
      </c>
      <c r="F484" s="3" t="n">
        <v>34828</v>
      </c>
      <c r="G484" s="2" t="inlineStr">
        <is>
          <t>N</t>
        </is>
      </c>
    </row>
    <row r="485">
      <c r="A485" s="2" t="inlineStr">
        <is>
          <t>D-0484</t>
        </is>
      </c>
      <c r="B485" s="2" t="inlineStr">
        <is>
          <t>James Park</t>
        </is>
      </c>
      <c r="C485" s="2" t="inlineStr">
        <is>
          <t>South</t>
        </is>
      </c>
      <c r="D485" s="2" t="inlineStr">
        <is>
          <t>Q4</t>
        </is>
      </c>
      <c r="E485" s="2" t="inlineStr">
        <is>
          <t>Core Platform</t>
        </is>
      </c>
      <c r="F485" s="3" t="n">
        <v>13983</v>
      </c>
      <c r="G485" s="2" t="inlineStr">
        <is>
          <t>Y</t>
        </is>
      </c>
    </row>
    <row r="486">
      <c r="A486" s="2" t="inlineStr">
        <is>
          <t>D-0485</t>
        </is>
      </c>
      <c r="B486" s="2" t="inlineStr">
        <is>
          <t>James Park</t>
        </is>
      </c>
      <c r="C486" s="2" t="inlineStr">
        <is>
          <t>South</t>
        </is>
      </c>
      <c r="D486" s="2" t="inlineStr">
        <is>
          <t>Q4</t>
        </is>
      </c>
      <c r="E486" s="2" t="inlineStr">
        <is>
          <t>Enterprise Suite</t>
        </is>
      </c>
      <c r="F486" s="3" t="n">
        <v>36024</v>
      </c>
      <c r="G486" s="2" t="inlineStr">
        <is>
          <t>N</t>
        </is>
      </c>
    </row>
    <row r="487">
      <c r="A487" s="2" t="inlineStr">
        <is>
          <t>D-0486</t>
        </is>
      </c>
      <c r="B487" s="2" t="inlineStr">
        <is>
          <t>Nina Petrova</t>
        </is>
      </c>
      <c r="C487" s="2" t="inlineStr">
        <is>
          <t>South</t>
        </is>
      </c>
      <c r="D487" s="2" t="inlineStr">
        <is>
          <t>Q1</t>
        </is>
      </c>
      <c r="E487" s="2" t="inlineStr">
        <is>
          <t>Enterprise Suite</t>
        </is>
      </c>
      <c r="F487" s="3" t="n">
        <v>25409</v>
      </c>
      <c r="G487" s="2" t="inlineStr">
        <is>
          <t>N</t>
        </is>
      </c>
    </row>
    <row r="488">
      <c r="A488" s="2" t="inlineStr">
        <is>
          <t>D-0487</t>
        </is>
      </c>
      <c r="B488" s="2" t="inlineStr">
        <is>
          <t>Nina Petrova</t>
        </is>
      </c>
      <c r="C488" s="2" t="inlineStr">
        <is>
          <t>South</t>
        </is>
      </c>
      <c r="D488" s="2" t="inlineStr">
        <is>
          <t>Q1</t>
        </is>
      </c>
      <c r="E488" s="2" t="inlineStr">
        <is>
          <t>Core Platform</t>
        </is>
      </c>
      <c r="F488" s="3" t="n">
        <v>9107</v>
      </c>
      <c r="G488" s="2" t="inlineStr">
        <is>
          <t>Y</t>
        </is>
      </c>
    </row>
    <row r="489">
      <c r="A489" s="2" t="inlineStr">
        <is>
          <t>D-0488</t>
        </is>
      </c>
      <c r="B489" s="2" t="inlineStr">
        <is>
          <t>Nina Petrova</t>
        </is>
      </c>
      <c r="C489" s="2" t="inlineStr">
        <is>
          <t>South</t>
        </is>
      </c>
      <c r="D489" s="2" t="inlineStr">
        <is>
          <t>Q1</t>
        </is>
      </c>
      <c r="E489" s="2" t="inlineStr">
        <is>
          <t>Enterprise Suite</t>
        </is>
      </c>
      <c r="F489" s="3" t="n">
        <v>19230</v>
      </c>
      <c r="G489" s="2" t="inlineStr">
        <is>
          <t>N</t>
        </is>
      </c>
    </row>
    <row r="490">
      <c r="A490" s="2" t="inlineStr">
        <is>
          <t>D-0489</t>
        </is>
      </c>
      <c r="B490" s="2" t="inlineStr">
        <is>
          <t>Nina Petrova</t>
        </is>
      </c>
      <c r="C490" s="2" t="inlineStr">
        <is>
          <t>South</t>
        </is>
      </c>
      <c r="D490" s="2" t="inlineStr">
        <is>
          <t>Q1</t>
        </is>
      </c>
      <c r="E490" s="2" t="inlineStr">
        <is>
          <t>Core Platform</t>
        </is>
      </c>
      <c r="F490" s="3" t="n">
        <v>2968</v>
      </c>
      <c r="G490" s="2" t="inlineStr">
        <is>
          <t>N</t>
        </is>
      </c>
    </row>
    <row r="491">
      <c r="A491" s="2" t="inlineStr">
        <is>
          <t>D-0490</t>
        </is>
      </c>
      <c r="B491" s="2" t="inlineStr">
        <is>
          <t>Nina Petrova</t>
        </is>
      </c>
      <c r="C491" s="2" t="inlineStr">
        <is>
          <t>South</t>
        </is>
      </c>
      <c r="D491" s="2" t="inlineStr">
        <is>
          <t>Q1</t>
        </is>
      </c>
      <c r="E491" s="2" t="inlineStr">
        <is>
          <t>Core Platform</t>
        </is>
      </c>
      <c r="F491" s="3" t="n">
        <v>2846</v>
      </c>
      <c r="G491" s="2" t="inlineStr">
        <is>
          <t>N</t>
        </is>
      </c>
    </row>
    <row r="492">
      <c r="A492" s="2" t="inlineStr">
        <is>
          <t>D-0491</t>
        </is>
      </c>
      <c r="B492" s="2" t="inlineStr">
        <is>
          <t>Nina Petrova</t>
        </is>
      </c>
      <c r="C492" s="2" t="inlineStr">
        <is>
          <t>South</t>
        </is>
      </c>
      <c r="D492" s="2" t="inlineStr">
        <is>
          <t>Q1</t>
        </is>
      </c>
      <c r="E492" s="2" t="inlineStr">
        <is>
          <t>Core Platform</t>
        </is>
      </c>
      <c r="F492" s="3" t="n">
        <v>4025</v>
      </c>
      <c r="G492" s="2" t="inlineStr">
        <is>
          <t>Y</t>
        </is>
      </c>
    </row>
    <row r="493">
      <c r="A493" s="2" t="inlineStr">
        <is>
          <t>D-0492</t>
        </is>
      </c>
      <c r="B493" s="2" t="inlineStr">
        <is>
          <t>Nina Petrova</t>
        </is>
      </c>
      <c r="C493" s="2" t="inlineStr">
        <is>
          <t>South</t>
        </is>
      </c>
      <c r="D493" s="2" t="inlineStr">
        <is>
          <t>Q1</t>
        </is>
      </c>
      <c r="E493" s="2" t="inlineStr">
        <is>
          <t>Core Platform</t>
        </is>
      </c>
      <c r="F493" s="3" t="n">
        <v>1789</v>
      </c>
      <c r="G493" s="2" t="inlineStr">
        <is>
          <t>N</t>
        </is>
      </c>
    </row>
    <row r="494">
      <c r="A494" s="2" t="inlineStr">
        <is>
          <t>D-0493</t>
        </is>
      </c>
      <c r="B494" s="2" t="inlineStr">
        <is>
          <t>Nina Petrova</t>
        </is>
      </c>
      <c r="C494" s="2" t="inlineStr">
        <is>
          <t>South</t>
        </is>
      </c>
      <c r="D494" s="2" t="inlineStr">
        <is>
          <t>Q1</t>
        </is>
      </c>
      <c r="E494" s="2" t="inlineStr">
        <is>
          <t>Core Platform</t>
        </is>
      </c>
      <c r="F494" s="3" t="n">
        <v>12440</v>
      </c>
      <c r="G494" s="2" t="inlineStr">
        <is>
          <t>N</t>
        </is>
      </c>
    </row>
    <row r="495">
      <c r="A495" s="2" t="inlineStr">
        <is>
          <t>D-0494</t>
        </is>
      </c>
      <c r="B495" s="2" t="inlineStr">
        <is>
          <t>Nina Petrova</t>
        </is>
      </c>
      <c r="C495" s="2" t="inlineStr">
        <is>
          <t>South</t>
        </is>
      </c>
      <c r="D495" s="2" t="inlineStr">
        <is>
          <t>Q1</t>
        </is>
      </c>
      <c r="E495" s="2" t="inlineStr">
        <is>
          <t>Enterprise Suite</t>
        </is>
      </c>
      <c r="F495" s="3" t="n">
        <v>16669</v>
      </c>
      <c r="G495" s="2" t="inlineStr">
        <is>
          <t>Y</t>
        </is>
      </c>
    </row>
    <row r="496">
      <c r="A496" s="2" t="inlineStr">
        <is>
          <t>D-0495</t>
        </is>
      </c>
      <c r="B496" s="2" t="inlineStr">
        <is>
          <t>Nina Petrova</t>
        </is>
      </c>
      <c r="C496" s="2" t="inlineStr">
        <is>
          <t>South</t>
        </is>
      </c>
      <c r="D496" s="2" t="inlineStr">
        <is>
          <t>Q1</t>
        </is>
      </c>
      <c r="E496" s="2" t="inlineStr">
        <is>
          <t>Core Platform</t>
        </is>
      </c>
      <c r="F496" s="3" t="n">
        <v>18986</v>
      </c>
      <c r="G496" s="2" t="inlineStr">
        <is>
          <t>Y</t>
        </is>
      </c>
    </row>
    <row r="497">
      <c r="A497" s="2" t="inlineStr">
        <is>
          <t>D-0496</t>
        </is>
      </c>
      <c r="B497" s="2" t="inlineStr">
        <is>
          <t>Nina Petrova</t>
        </is>
      </c>
      <c r="C497" s="2" t="inlineStr">
        <is>
          <t>South</t>
        </is>
      </c>
      <c r="D497" s="2" t="inlineStr">
        <is>
          <t>Q1</t>
        </is>
      </c>
      <c r="E497" s="2" t="inlineStr">
        <is>
          <t>Core Platform</t>
        </is>
      </c>
      <c r="F497" s="3" t="n">
        <v>4391</v>
      </c>
      <c r="G497" s="2" t="inlineStr">
        <is>
          <t>N</t>
        </is>
      </c>
    </row>
    <row r="498">
      <c r="A498" s="2" t="inlineStr">
        <is>
          <t>D-0497</t>
        </is>
      </c>
      <c r="B498" s="2" t="inlineStr">
        <is>
          <t>Nina Petrova</t>
        </is>
      </c>
      <c r="C498" s="2" t="inlineStr">
        <is>
          <t>South</t>
        </is>
      </c>
      <c r="D498" s="2" t="inlineStr">
        <is>
          <t>Q1</t>
        </is>
      </c>
      <c r="E498" s="2" t="inlineStr">
        <is>
          <t>Enterprise Suite</t>
        </is>
      </c>
      <c r="F498" s="3" t="n">
        <v>20937</v>
      </c>
      <c r="G498" s="2" t="inlineStr">
        <is>
          <t>Y</t>
        </is>
      </c>
    </row>
    <row r="499">
      <c r="A499" s="2" t="inlineStr">
        <is>
          <t>D-0498</t>
        </is>
      </c>
      <c r="B499" s="2" t="inlineStr">
        <is>
          <t>Nina Petrova</t>
        </is>
      </c>
      <c r="C499" s="2" t="inlineStr">
        <is>
          <t>South</t>
        </is>
      </c>
      <c r="D499" s="2" t="inlineStr">
        <is>
          <t>Q2</t>
        </is>
      </c>
      <c r="E499" s="2" t="inlineStr">
        <is>
          <t>Core Platform</t>
        </is>
      </c>
      <c r="F499" s="3" t="n">
        <v>8649</v>
      </c>
      <c r="G499" s="2" t="inlineStr">
        <is>
          <t>N</t>
        </is>
      </c>
    </row>
    <row r="500">
      <c r="A500" s="2" t="inlineStr">
        <is>
          <t>D-0499</t>
        </is>
      </c>
      <c r="B500" s="2" t="inlineStr">
        <is>
          <t>Nina Petrova</t>
        </is>
      </c>
      <c r="C500" s="2" t="inlineStr">
        <is>
          <t>South</t>
        </is>
      </c>
      <c r="D500" s="2" t="inlineStr">
        <is>
          <t>Q2</t>
        </is>
      </c>
      <c r="E500" s="2" t="inlineStr">
        <is>
          <t>Enterprise Suite</t>
        </is>
      </c>
      <c r="F500" s="3" t="n">
        <v>24272</v>
      </c>
      <c r="G500" s="2" t="inlineStr">
        <is>
          <t>N</t>
        </is>
      </c>
    </row>
    <row r="501">
      <c r="A501" s="2" t="inlineStr">
        <is>
          <t>D-0500</t>
        </is>
      </c>
      <c r="B501" s="2" t="inlineStr">
        <is>
          <t>Nina Petrova</t>
        </is>
      </c>
      <c r="C501" s="2" t="inlineStr">
        <is>
          <t>South</t>
        </is>
      </c>
      <c r="D501" s="2" t="inlineStr">
        <is>
          <t>Q2</t>
        </is>
      </c>
      <c r="E501" s="2" t="inlineStr">
        <is>
          <t>Enterprise Suite</t>
        </is>
      </c>
      <c r="F501" s="3" t="n">
        <v>7567</v>
      </c>
      <c r="G501" s="2" t="inlineStr">
        <is>
          <t>Y</t>
        </is>
      </c>
    </row>
    <row r="502">
      <c r="A502" s="2" t="inlineStr">
        <is>
          <t>D-0501</t>
        </is>
      </c>
      <c r="B502" s="2" t="inlineStr">
        <is>
          <t>Nina Petrova</t>
        </is>
      </c>
      <c r="C502" s="2" t="inlineStr">
        <is>
          <t>South</t>
        </is>
      </c>
      <c r="D502" s="2" t="inlineStr">
        <is>
          <t>Q2</t>
        </is>
      </c>
      <c r="E502" s="2" t="inlineStr">
        <is>
          <t>Enterprise Suite</t>
        </is>
      </c>
      <c r="F502" s="3" t="n">
        <v>52484</v>
      </c>
      <c r="G502" s="2" t="inlineStr">
        <is>
          <t>N</t>
        </is>
      </c>
    </row>
    <row r="503">
      <c r="A503" s="2" t="inlineStr">
        <is>
          <t>D-0502</t>
        </is>
      </c>
      <c r="B503" s="2" t="inlineStr">
        <is>
          <t>Nina Petrova</t>
        </is>
      </c>
      <c r="C503" s="2" t="inlineStr">
        <is>
          <t>South</t>
        </is>
      </c>
      <c r="D503" s="2" t="inlineStr">
        <is>
          <t>Q2</t>
        </is>
      </c>
      <c r="E503" s="2" t="inlineStr">
        <is>
          <t>Core Platform</t>
        </is>
      </c>
      <c r="F503" s="3" t="n">
        <v>4708</v>
      </c>
      <c r="G503" s="2" t="inlineStr">
        <is>
          <t>N</t>
        </is>
      </c>
    </row>
    <row r="504">
      <c r="A504" s="2" t="inlineStr">
        <is>
          <t>D-0503</t>
        </is>
      </c>
      <c r="B504" s="2" t="inlineStr">
        <is>
          <t>Nina Petrova</t>
        </is>
      </c>
      <c r="C504" s="2" t="inlineStr">
        <is>
          <t>South</t>
        </is>
      </c>
      <c r="D504" s="2" t="inlineStr">
        <is>
          <t>Q2</t>
        </is>
      </c>
      <c r="E504" s="2" t="inlineStr">
        <is>
          <t>Core Platform</t>
        </is>
      </c>
      <c r="F504" s="3" t="n">
        <v>2476</v>
      </c>
      <c r="G504" s="2" t="inlineStr">
        <is>
          <t>N</t>
        </is>
      </c>
    </row>
    <row r="505">
      <c r="A505" s="2" t="inlineStr">
        <is>
          <t>D-0504</t>
        </is>
      </c>
      <c r="B505" s="2" t="inlineStr">
        <is>
          <t>Nina Petrova</t>
        </is>
      </c>
      <c r="C505" s="2" t="inlineStr">
        <is>
          <t>South</t>
        </is>
      </c>
      <c r="D505" s="2" t="inlineStr">
        <is>
          <t>Q2</t>
        </is>
      </c>
      <c r="E505" s="2" t="inlineStr">
        <is>
          <t>Core Platform</t>
        </is>
      </c>
      <c r="F505" s="3" t="n">
        <v>6068</v>
      </c>
      <c r="G505" s="2" t="inlineStr">
        <is>
          <t>N</t>
        </is>
      </c>
    </row>
    <row r="506">
      <c r="A506" s="2" t="inlineStr">
        <is>
          <t>D-0505</t>
        </is>
      </c>
      <c r="B506" s="2" t="inlineStr">
        <is>
          <t>Nina Petrova</t>
        </is>
      </c>
      <c r="C506" s="2" t="inlineStr">
        <is>
          <t>South</t>
        </is>
      </c>
      <c r="D506" s="2" t="inlineStr">
        <is>
          <t>Q2</t>
        </is>
      </c>
      <c r="E506" s="2" t="inlineStr">
        <is>
          <t>Core Platform</t>
        </is>
      </c>
      <c r="F506" s="3" t="n">
        <v>2406</v>
      </c>
      <c r="G506" s="2" t="inlineStr">
        <is>
          <t>Y</t>
        </is>
      </c>
    </row>
    <row r="507">
      <c r="A507" s="2" t="inlineStr">
        <is>
          <t>D-0506</t>
        </is>
      </c>
      <c r="B507" s="2" t="inlineStr">
        <is>
          <t>Nina Petrova</t>
        </is>
      </c>
      <c r="C507" s="2" t="inlineStr">
        <is>
          <t>South</t>
        </is>
      </c>
      <c r="D507" s="2" t="inlineStr">
        <is>
          <t>Q2</t>
        </is>
      </c>
      <c r="E507" s="2" t="inlineStr">
        <is>
          <t>Core Platform</t>
        </is>
      </c>
      <c r="F507" s="3" t="n">
        <v>6347</v>
      </c>
      <c r="G507" s="2" t="inlineStr">
        <is>
          <t>Y</t>
        </is>
      </c>
    </row>
    <row r="508">
      <c r="A508" s="2" t="inlineStr">
        <is>
          <t>D-0507</t>
        </is>
      </c>
      <c r="B508" s="2" t="inlineStr">
        <is>
          <t>Nina Petrova</t>
        </is>
      </c>
      <c r="C508" s="2" t="inlineStr">
        <is>
          <t>South</t>
        </is>
      </c>
      <c r="D508" s="2" t="inlineStr">
        <is>
          <t>Q2</t>
        </is>
      </c>
      <c r="E508" s="2" t="inlineStr">
        <is>
          <t>Enterprise Suite</t>
        </is>
      </c>
      <c r="F508" s="3" t="n">
        <v>18971</v>
      </c>
      <c r="G508" s="2" t="inlineStr">
        <is>
          <t>N</t>
        </is>
      </c>
    </row>
    <row r="509">
      <c r="A509" s="2" t="inlineStr">
        <is>
          <t>D-0508</t>
        </is>
      </c>
      <c r="B509" s="2" t="inlineStr">
        <is>
          <t>Nina Petrova</t>
        </is>
      </c>
      <c r="C509" s="2" t="inlineStr">
        <is>
          <t>South</t>
        </is>
      </c>
      <c r="D509" s="2" t="inlineStr">
        <is>
          <t>Q2</t>
        </is>
      </c>
      <c r="E509" s="2" t="inlineStr">
        <is>
          <t>Core Platform</t>
        </is>
      </c>
      <c r="F509" s="3" t="n">
        <v>3976</v>
      </c>
      <c r="G509" s="2" t="inlineStr">
        <is>
          <t>N</t>
        </is>
      </c>
    </row>
    <row r="510">
      <c r="A510" s="2" t="inlineStr">
        <is>
          <t>D-0509</t>
        </is>
      </c>
      <c r="B510" s="2" t="inlineStr">
        <is>
          <t>Nina Petrova</t>
        </is>
      </c>
      <c r="C510" s="2" t="inlineStr">
        <is>
          <t>South</t>
        </is>
      </c>
      <c r="D510" s="2" t="inlineStr">
        <is>
          <t>Q2</t>
        </is>
      </c>
      <c r="E510" s="2" t="inlineStr">
        <is>
          <t>Core Platform</t>
        </is>
      </c>
      <c r="F510" s="3" t="n">
        <v>4220</v>
      </c>
      <c r="G510" s="2" t="inlineStr">
        <is>
          <t>N</t>
        </is>
      </c>
    </row>
    <row r="511">
      <c r="A511" s="2" t="inlineStr">
        <is>
          <t>D-0510</t>
        </is>
      </c>
      <c r="B511" s="2" t="inlineStr">
        <is>
          <t>Nina Petrova</t>
        </is>
      </c>
      <c r="C511" s="2" t="inlineStr">
        <is>
          <t>South</t>
        </is>
      </c>
      <c r="D511" s="2" t="inlineStr">
        <is>
          <t>Q2</t>
        </is>
      </c>
      <c r="E511" s="2" t="inlineStr">
        <is>
          <t>Enterprise Suite</t>
        </is>
      </c>
      <c r="F511" s="3" t="n">
        <v>11682</v>
      </c>
      <c r="G511" s="2" t="inlineStr">
        <is>
          <t>N</t>
        </is>
      </c>
    </row>
    <row r="512">
      <c r="A512" s="2" t="inlineStr">
        <is>
          <t>D-0511</t>
        </is>
      </c>
      <c r="B512" s="2" t="inlineStr">
        <is>
          <t>Nina Petrova</t>
        </is>
      </c>
      <c r="C512" s="2" t="inlineStr">
        <is>
          <t>South</t>
        </is>
      </c>
      <c r="D512" s="2" t="inlineStr">
        <is>
          <t>Q2</t>
        </is>
      </c>
      <c r="E512" s="2" t="inlineStr">
        <is>
          <t>Core Platform</t>
        </is>
      </c>
      <c r="F512" s="3" t="n">
        <v>5928</v>
      </c>
      <c r="G512" s="2" t="inlineStr">
        <is>
          <t>Y</t>
        </is>
      </c>
    </row>
    <row r="513">
      <c r="A513" s="2" t="inlineStr">
        <is>
          <t>D-0512</t>
        </is>
      </c>
      <c r="B513" s="2" t="inlineStr">
        <is>
          <t>Nina Petrova</t>
        </is>
      </c>
      <c r="C513" s="2" t="inlineStr">
        <is>
          <t>South</t>
        </is>
      </c>
      <c r="D513" s="2" t="inlineStr">
        <is>
          <t>Q3</t>
        </is>
      </c>
      <c r="E513" s="2" t="inlineStr">
        <is>
          <t>Add-on Services</t>
        </is>
      </c>
      <c r="F513" s="3" t="n">
        <v>15446</v>
      </c>
      <c r="G513" s="2" t="inlineStr">
        <is>
          <t>N</t>
        </is>
      </c>
    </row>
    <row r="514">
      <c r="A514" s="2" t="inlineStr">
        <is>
          <t>D-0513</t>
        </is>
      </c>
      <c r="B514" s="2" t="inlineStr">
        <is>
          <t>Nina Petrova</t>
        </is>
      </c>
      <c r="C514" s="2" t="inlineStr">
        <is>
          <t>South</t>
        </is>
      </c>
      <c r="D514" s="2" t="inlineStr">
        <is>
          <t>Q3</t>
        </is>
      </c>
      <c r="E514" s="2" t="inlineStr">
        <is>
          <t>Add-on Services</t>
        </is>
      </c>
      <c r="F514" s="3" t="n">
        <v>10297</v>
      </c>
      <c r="G514" s="2" t="inlineStr">
        <is>
          <t>N</t>
        </is>
      </c>
    </row>
    <row r="515">
      <c r="A515" s="2" t="inlineStr">
        <is>
          <t>D-0514</t>
        </is>
      </c>
      <c r="B515" s="2" t="inlineStr">
        <is>
          <t>Nina Petrova</t>
        </is>
      </c>
      <c r="C515" s="2" t="inlineStr">
        <is>
          <t>South</t>
        </is>
      </c>
      <c r="D515" s="2" t="inlineStr">
        <is>
          <t>Q3</t>
        </is>
      </c>
      <c r="E515" s="2" t="inlineStr">
        <is>
          <t>Add-on Services</t>
        </is>
      </c>
      <c r="F515" s="3" t="n">
        <v>15446</v>
      </c>
      <c r="G515" s="2" t="inlineStr">
        <is>
          <t>N</t>
        </is>
      </c>
    </row>
    <row r="516">
      <c r="A516" s="2" t="inlineStr">
        <is>
          <t>D-0515</t>
        </is>
      </c>
      <c r="B516" s="2" t="inlineStr">
        <is>
          <t>Nina Petrova</t>
        </is>
      </c>
      <c r="C516" s="2" t="inlineStr">
        <is>
          <t>South</t>
        </is>
      </c>
      <c r="D516" s="2" t="inlineStr">
        <is>
          <t>Q3</t>
        </is>
      </c>
      <c r="E516" s="2" t="inlineStr">
        <is>
          <t>Add-on Services</t>
        </is>
      </c>
      <c r="F516" s="3" t="n">
        <v>12504</v>
      </c>
      <c r="G516" s="2" t="inlineStr">
        <is>
          <t>N</t>
        </is>
      </c>
    </row>
    <row r="517">
      <c r="A517" s="2" t="inlineStr">
        <is>
          <t>D-0516</t>
        </is>
      </c>
      <c r="B517" s="2" t="inlineStr">
        <is>
          <t>Nina Petrova</t>
        </is>
      </c>
      <c r="C517" s="2" t="inlineStr">
        <is>
          <t>South</t>
        </is>
      </c>
      <c r="D517" s="2" t="inlineStr">
        <is>
          <t>Q3</t>
        </is>
      </c>
      <c r="E517" s="2" t="inlineStr">
        <is>
          <t>Add-on Services</t>
        </is>
      </c>
      <c r="F517" s="3" t="n">
        <v>12871</v>
      </c>
      <c r="G517" s="2" t="inlineStr">
        <is>
          <t>N</t>
        </is>
      </c>
    </row>
    <row r="518">
      <c r="A518" s="2" t="inlineStr">
        <is>
          <t>D-0517</t>
        </is>
      </c>
      <c r="B518" s="2" t="inlineStr">
        <is>
          <t>Nina Petrova</t>
        </is>
      </c>
      <c r="C518" s="2" t="inlineStr">
        <is>
          <t>South</t>
        </is>
      </c>
      <c r="D518" s="2" t="inlineStr">
        <is>
          <t>Q3</t>
        </is>
      </c>
      <c r="E518" s="2" t="inlineStr">
        <is>
          <t>Core Platform</t>
        </is>
      </c>
      <c r="F518" s="3" t="n">
        <v>15629</v>
      </c>
      <c r="G518" s="2" t="inlineStr">
        <is>
          <t>N</t>
        </is>
      </c>
    </row>
    <row r="519">
      <c r="A519" s="2" t="inlineStr">
        <is>
          <t>D-0518</t>
        </is>
      </c>
      <c r="B519" s="2" t="inlineStr">
        <is>
          <t>Nina Petrova</t>
        </is>
      </c>
      <c r="C519" s="2" t="inlineStr">
        <is>
          <t>South</t>
        </is>
      </c>
      <c r="D519" s="2" t="inlineStr">
        <is>
          <t>Q3</t>
        </is>
      </c>
      <c r="E519" s="2" t="inlineStr">
        <is>
          <t>Core Platform</t>
        </is>
      </c>
      <c r="F519" s="3" t="n">
        <v>18204</v>
      </c>
      <c r="G519" s="2" t="inlineStr">
        <is>
          <t>N</t>
        </is>
      </c>
    </row>
    <row r="520">
      <c r="A520" s="2" t="inlineStr">
        <is>
          <t>D-0519</t>
        </is>
      </c>
      <c r="B520" s="2" t="inlineStr">
        <is>
          <t>Nina Petrova</t>
        </is>
      </c>
      <c r="C520" s="2" t="inlineStr">
        <is>
          <t>South</t>
        </is>
      </c>
      <c r="D520" s="2" t="inlineStr">
        <is>
          <t>Q3</t>
        </is>
      </c>
      <c r="E520" s="2" t="inlineStr">
        <is>
          <t>Enterprise Suite</t>
        </is>
      </c>
      <c r="F520" s="3" t="n">
        <v>57553</v>
      </c>
      <c r="G520" s="2" t="inlineStr">
        <is>
          <t>N</t>
        </is>
      </c>
    </row>
    <row r="521">
      <c r="A521" s="2" t="inlineStr">
        <is>
          <t>D-0520</t>
        </is>
      </c>
      <c r="B521" s="2" t="inlineStr">
        <is>
          <t>Nina Petrova</t>
        </is>
      </c>
      <c r="C521" s="2" t="inlineStr">
        <is>
          <t>South</t>
        </is>
      </c>
      <c r="D521" s="2" t="inlineStr">
        <is>
          <t>Q3</t>
        </is>
      </c>
      <c r="E521" s="2" t="inlineStr">
        <is>
          <t>Core Platform</t>
        </is>
      </c>
      <c r="F521" s="3" t="n">
        <v>9745</v>
      </c>
      <c r="G521" s="2" t="inlineStr">
        <is>
          <t>N</t>
        </is>
      </c>
    </row>
    <row r="522">
      <c r="A522" s="2" t="inlineStr">
        <is>
          <t>D-0521</t>
        </is>
      </c>
      <c r="B522" s="2" t="inlineStr">
        <is>
          <t>Nina Petrova</t>
        </is>
      </c>
      <c r="C522" s="2" t="inlineStr">
        <is>
          <t>South</t>
        </is>
      </c>
      <c r="D522" s="2" t="inlineStr">
        <is>
          <t>Q4</t>
        </is>
      </c>
      <c r="E522" s="2" t="inlineStr">
        <is>
          <t>Enterprise Suite</t>
        </is>
      </c>
      <c r="F522" s="3" t="n">
        <v>76864</v>
      </c>
      <c r="G522" s="2" t="inlineStr">
        <is>
          <t>N</t>
        </is>
      </c>
    </row>
    <row r="523">
      <c r="A523" s="2" t="inlineStr">
        <is>
          <t>D-0522</t>
        </is>
      </c>
      <c r="B523" s="2" t="inlineStr">
        <is>
          <t>Nina Petrova</t>
        </is>
      </c>
      <c r="C523" s="2" t="inlineStr">
        <is>
          <t>South</t>
        </is>
      </c>
      <c r="D523" s="2" t="inlineStr">
        <is>
          <t>Q4</t>
        </is>
      </c>
      <c r="E523" s="2" t="inlineStr">
        <is>
          <t>Add-on Services</t>
        </is>
      </c>
      <c r="F523" s="3" t="n">
        <v>2813</v>
      </c>
      <c r="G523" s="2" t="inlineStr">
        <is>
          <t>N</t>
        </is>
      </c>
    </row>
    <row r="524">
      <c r="A524" s="2" t="inlineStr">
        <is>
          <t>D-0523</t>
        </is>
      </c>
      <c r="B524" s="2" t="inlineStr">
        <is>
          <t>Nina Petrova</t>
        </is>
      </c>
      <c r="C524" s="2" t="inlineStr">
        <is>
          <t>South</t>
        </is>
      </c>
      <c r="D524" s="2" t="inlineStr">
        <is>
          <t>Q4</t>
        </is>
      </c>
      <c r="E524" s="2" t="inlineStr">
        <is>
          <t>Core Platform</t>
        </is>
      </c>
      <c r="F524" s="3" t="n">
        <v>2654</v>
      </c>
      <c r="G524" s="2" t="inlineStr">
        <is>
          <t>N</t>
        </is>
      </c>
    </row>
    <row r="525">
      <c r="A525" s="2" t="inlineStr">
        <is>
          <t>D-0524</t>
        </is>
      </c>
      <c r="B525" s="2" t="inlineStr">
        <is>
          <t>Nina Petrova</t>
        </is>
      </c>
      <c r="C525" s="2" t="inlineStr">
        <is>
          <t>South</t>
        </is>
      </c>
      <c r="D525" s="2" t="inlineStr">
        <is>
          <t>Q4</t>
        </is>
      </c>
      <c r="E525" s="2" t="inlineStr">
        <is>
          <t>Core Platform</t>
        </is>
      </c>
      <c r="F525" s="3" t="n">
        <v>5839</v>
      </c>
      <c r="G525" s="2" t="inlineStr">
        <is>
          <t>Y</t>
        </is>
      </c>
    </row>
    <row r="526">
      <c r="A526" s="2" t="inlineStr">
        <is>
          <t>D-0525</t>
        </is>
      </c>
      <c r="B526" s="2" t="inlineStr">
        <is>
          <t>Nina Petrova</t>
        </is>
      </c>
      <c r="C526" s="2" t="inlineStr">
        <is>
          <t>South</t>
        </is>
      </c>
      <c r="D526" s="2" t="inlineStr">
        <is>
          <t>Q4</t>
        </is>
      </c>
      <c r="E526" s="2" t="inlineStr">
        <is>
          <t>Core Platform</t>
        </is>
      </c>
      <c r="F526" s="3" t="n">
        <v>10192</v>
      </c>
      <c r="G526" s="2" t="inlineStr">
        <is>
          <t>N</t>
        </is>
      </c>
    </row>
    <row r="527">
      <c r="A527" s="2" t="inlineStr">
        <is>
          <t>D-0526</t>
        </is>
      </c>
      <c r="B527" s="2" t="inlineStr">
        <is>
          <t>Nina Petrova</t>
        </is>
      </c>
      <c r="C527" s="2" t="inlineStr">
        <is>
          <t>South</t>
        </is>
      </c>
      <c r="D527" s="2" t="inlineStr">
        <is>
          <t>Q4</t>
        </is>
      </c>
      <c r="E527" s="2" t="inlineStr">
        <is>
          <t>Enterprise Suite</t>
        </is>
      </c>
      <c r="F527" s="3" t="n">
        <v>32964</v>
      </c>
      <c r="G527" s="2" t="inlineStr">
        <is>
          <t>N</t>
        </is>
      </c>
    </row>
    <row r="528">
      <c r="A528" s="2" t="inlineStr">
        <is>
          <t>D-0527</t>
        </is>
      </c>
      <c r="B528" s="2" t="inlineStr">
        <is>
          <t>Nina Petrova</t>
        </is>
      </c>
      <c r="C528" s="2" t="inlineStr">
        <is>
          <t>South</t>
        </is>
      </c>
      <c r="D528" s="2" t="inlineStr">
        <is>
          <t>Q4</t>
        </is>
      </c>
      <c r="E528" s="2" t="inlineStr">
        <is>
          <t>Core Platform</t>
        </is>
      </c>
      <c r="F528" s="3" t="n">
        <v>7644</v>
      </c>
      <c r="G528" s="2" t="inlineStr">
        <is>
          <t>N</t>
        </is>
      </c>
    </row>
    <row r="529">
      <c r="A529" s="2" t="inlineStr">
        <is>
          <t>D-0528</t>
        </is>
      </c>
      <c r="B529" s="2" t="inlineStr">
        <is>
          <t>Nina Petrova</t>
        </is>
      </c>
      <c r="C529" s="2" t="inlineStr">
        <is>
          <t>South</t>
        </is>
      </c>
      <c r="D529" s="2" t="inlineStr">
        <is>
          <t>Q4</t>
        </is>
      </c>
      <c r="E529" s="2" t="inlineStr">
        <is>
          <t>Core Platform</t>
        </is>
      </c>
      <c r="F529" s="3" t="n">
        <v>10457</v>
      </c>
      <c r="G529" s="2" t="inlineStr">
        <is>
          <t>Y</t>
        </is>
      </c>
    </row>
    <row r="530">
      <c r="A530" s="2" t="inlineStr">
        <is>
          <t>D-0529</t>
        </is>
      </c>
      <c r="B530" s="2" t="inlineStr">
        <is>
          <t>Nina Petrova</t>
        </is>
      </c>
      <c r="C530" s="2" t="inlineStr">
        <is>
          <t>South</t>
        </is>
      </c>
      <c r="D530" s="2" t="inlineStr">
        <is>
          <t>Q4</t>
        </is>
      </c>
      <c r="E530" s="2" t="inlineStr">
        <is>
          <t>Core Platform</t>
        </is>
      </c>
      <c r="F530" s="3" t="n">
        <v>11678</v>
      </c>
      <c r="G530" s="2" t="inlineStr">
        <is>
          <t>N</t>
        </is>
      </c>
    </row>
    <row r="531">
      <c r="A531" s="2" t="inlineStr">
        <is>
          <t>D-0530</t>
        </is>
      </c>
      <c r="B531" s="2" t="inlineStr">
        <is>
          <t>Nina Petrova</t>
        </is>
      </c>
      <c r="C531" s="2" t="inlineStr">
        <is>
          <t>South</t>
        </is>
      </c>
      <c r="D531" s="2" t="inlineStr">
        <is>
          <t>Q4</t>
        </is>
      </c>
      <c r="E531" s="2" t="inlineStr">
        <is>
          <t>Core Platform</t>
        </is>
      </c>
      <c r="F531" s="3" t="n">
        <v>7803</v>
      </c>
      <c r="G531" s="2" t="inlineStr">
        <is>
          <t>N</t>
        </is>
      </c>
    </row>
    <row r="532">
      <c r="A532" s="2" t="inlineStr">
        <is>
          <t>D-0531</t>
        </is>
      </c>
      <c r="B532" s="2" t="inlineStr">
        <is>
          <t>Nina Petrova</t>
        </is>
      </c>
      <c r="C532" s="2" t="inlineStr">
        <is>
          <t>South</t>
        </is>
      </c>
      <c r="D532" s="2" t="inlineStr">
        <is>
          <t>Q4</t>
        </is>
      </c>
      <c r="E532" s="2" t="inlineStr">
        <is>
          <t>Enterprise Suite</t>
        </is>
      </c>
      <c r="F532" s="3" t="n">
        <v>15766</v>
      </c>
      <c r="G532" s="2" t="inlineStr">
        <is>
          <t>Y</t>
        </is>
      </c>
    </row>
  </sheetData>
  <autoFilter ref="A1:G5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4" t="inlineStr">
        <is>
          <t>Commission Plan — FY2025</t>
        </is>
      </c>
    </row>
    <row r="2">
      <c r="A2" s="5" t="inlineStr">
        <is>
          <t>Change any blue parameter and the whole workbook recalculates.</t>
        </is>
      </c>
    </row>
    <row r="3">
      <c r="A3" s="1" t="inlineStr">
        <is>
          <t>Parameter</t>
        </is>
      </c>
      <c r="B3" s="1" t="inlineStr">
        <is>
          <t>Value</t>
        </is>
      </c>
    </row>
    <row r="4">
      <c r="A4" s="6" t="inlineStr">
        <is>
          <t>Tier 1 rate — 0–100% of quota</t>
        </is>
      </c>
      <c r="B4" s="7" t="n">
        <v>0.05</v>
      </c>
    </row>
    <row r="5">
      <c r="A5" s="6" t="inlineStr">
        <is>
          <t>Tier 2 rate — 100–150% of quota</t>
        </is>
      </c>
      <c r="B5" s="7" t="n">
        <v>0.08</v>
      </c>
    </row>
    <row r="6">
      <c r="A6" s="6" t="inlineStr">
        <is>
          <t>Tier 3 rate — above 150% of quota</t>
        </is>
      </c>
      <c r="B6" s="7" t="n">
        <v>0.12</v>
      </c>
    </row>
    <row r="7">
      <c r="A7" s="6" t="inlineStr">
        <is>
          <t>Accelerator rate — revenue above 125% of quota</t>
        </is>
      </c>
      <c r="B7" s="7" t="n">
        <v>0.02</v>
      </c>
    </row>
    <row r="8">
      <c r="A8" s="6" t="inlineStr">
        <is>
          <t>Accelerator threshold (× quota)</t>
        </is>
      </c>
      <c r="B8" s="8" t="n">
        <v>1.25</v>
      </c>
    </row>
    <row r="9">
      <c r="A9" s="6" t="inlineStr">
        <is>
          <t>New-logo spiff per deal</t>
        </is>
      </c>
      <c r="B9" s="9" t="n">
        <v>500</v>
      </c>
    </row>
    <row r="10">
      <c r="A10" s="6" t="inlineStr">
        <is>
          <t>Monthly draw per rep</t>
        </is>
      </c>
      <c r="B10" s="9" t="n">
        <v>3000</v>
      </c>
    </row>
    <row r="11">
      <c r="A11" s="6" t="inlineStr">
        <is>
          <t>Quarterly draw (monthly × 3)</t>
        </is>
      </c>
      <c r="B11" s="10">
        <f>B9*3</f>
        <v/>
      </c>
    </row>
    <row r="12">
      <c r="A12" s="6" t="inlineStr">
        <is>
          <t>Tier 2 / Tier 3 threshold (× quota)</t>
        </is>
      </c>
      <c r="B12" s="8" t="n">
        <v>1.5</v>
      </c>
    </row>
    <row r="14">
      <c r="A14" t="inlineStr"/>
    </row>
    <row r="15">
      <c r="A15" s="11" t="inlineStr">
        <is>
          <t>How the plan works:</t>
        </is>
      </c>
    </row>
    <row r="16">
      <c r="A16" t="inlineStr">
        <is>
          <t>• Commission is paid on MARGINAL revenue: 5% on the first 100% of quota,</t>
        </is>
      </c>
    </row>
    <row r="17">
      <c r="A17" t="inlineStr">
        <is>
          <t xml:space="preserve">  8% on revenue from 100–150% of quota, 12% above 150%.</t>
        </is>
      </c>
    </row>
    <row r="18">
      <c r="A18" t="inlineStr">
        <is>
          <t>• Accelerator: an extra 2% on all revenue above 125% of quota (stacks with tiers).</t>
        </is>
      </c>
    </row>
    <row r="19">
      <c r="A19" t="inlineStr">
        <is>
          <t>• $500 spiff for every new-logo (Y) deal, paid on top of tiered commission.</t>
        </is>
      </c>
    </row>
    <row r="20">
      <c r="A20" t="inlineStr">
        <is>
          <t>• $3,000/month recoverable draw: payout each quarter is MAX(commission, $9,000).</t>
        </is>
      </c>
    </row>
    <row r="21">
      <c r="A21" t="inlineStr">
        <is>
          <t>• Rep Summary is 100% formulas — no hardcoded payouts.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2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10" max="10"/>
    <col width="13" customWidth="1" min="11" max="11"/>
    <col width="13" customWidth="1" min="12" max="12"/>
    <col width="11" customWidth="1" min="13" max="13"/>
    <col width="17" customWidth="1" min="14" max="14"/>
    <col width="11" customWidth="1" min="15" max="15"/>
    <col width="13" customWidth="1" min="16" max="16"/>
    <col width="14" customWidth="1" min="17" max="17"/>
  </cols>
  <sheetData>
    <row r="1">
      <c r="A1" s="1" t="inlineStr">
        <is>
          <t>Rep</t>
        </is>
      </c>
      <c r="B1" s="1" t="inlineStr">
        <is>
          <t>Region</t>
        </is>
      </c>
      <c r="C1" s="1" t="inlineStr">
        <is>
          <t>Quarter</t>
        </is>
      </c>
      <c r="D1" s="1" t="inlineStr">
        <is>
          <t>Quota</t>
        </is>
      </c>
      <c r="E1" s="1" t="inlineStr">
        <is>
          <t>Revenue</t>
        </is>
      </c>
      <c r="F1" s="1" t="inlineStr">
        <is>
          <t>Attainment %</t>
        </is>
      </c>
      <c r="G1" s="1" t="inlineStr">
        <is>
          <t>Tier 1 $</t>
        </is>
      </c>
      <c r="H1" s="1" t="inlineStr">
        <is>
          <t>Tier 2 $</t>
        </is>
      </c>
      <c r="I1" s="1" t="inlineStr">
        <is>
          <t>Tier 3 $</t>
        </is>
      </c>
      <c r="J1" s="1" t="inlineStr">
        <is>
          <t>Accelerator $</t>
        </is>
      </c>
      <c r="K1" s="1" t="inlineStr">
        <is>
          <t>New-logo deals</t>
        </is>
      </c>
      <c r="L1" s="1" t="inlineStr">
        <is>
          <t>Spiff $</t>
        </is>
      </c>
      <c r="M1" s="1" t="inlineStr">
        <is>
          <t>Total commission $</t>
        </is>
      </c>
      <c r="N1" s="1" t="inlineStr">
        <is>
          <t>Draw $</t>
        </is>
      </c>
      <c r="O1" s="1" t="inlineStr">
        <is>
          <t>Payout $</t>
        </is>
      </c>
      <c r="P1" s="1" t="inlineStr">
        <is>
          <t>Payout vs quota</t>
        </is>
      </c>
      <c r="Q1" s="1" t="inlineStr">
        <is>
          <t>Band</t>
        </is>
      </c>
    </row>
    <row r="2">
      <c r="A2" s="2" t="inlineStr">
        <is>
          <t>Marcus Webb</t>
        </is>
      </c>
      <c r="B2" s="2" t="inlineStr">
        <is>
          <t>West</t>
        </is>
      </c>
      <c r="C2" s="2" t="inlineStr">
        <is>
          <t>Q1</t>
        </is>
      </c>
      <c r="D2" s="3" t="n">
        <v>350000</v>
      </c>
      <c r="E2" s="3">
        <f>SUMIFS(d_size,d_rep,A2,d_qtr,C2)</f>
        <v/>
      </c>
      <c r="F2" s="12">
        <f>IF(D2=0,0,E2/D2)</f>
        <v/>
      </c>
      <c r="G2" s="3">
        <f>MIN(E2,D2)*rate_t1</f>
        <v/>
      </c>
      <c r="H2" s="3">
        <f>MAX(MIN(E2,D2*t2_mult)-D2,0)*rate_t2</f>
        <v/>
      </c>
      <c r="I2" s="3">
        <f>MAX(E2-D2*t2_mult,0)*rate_t3</f>
        <v/>
      </c>
      <c r="J2" s="3">
        <f>MAX(E2-D2*accel_mult,0)*rate_accel</f>
        <v/>
      </c>
      <c r="K2" s="2">
        <f>COUNTIFS(d_rep,A2,d_qtr,C2,d_newlogo,"Y")</f>
        <v/>
      </c>
      <c r="L2" s="3">
        <f>K2*spiff_amt</f>
        <v/>
      </c>
      <c r="M2" s="3">
        <f>G2+H2+I2+J2+L2</f>
        <v/>
      </c>
      <c r="N2" s="3">
        <f>qtr_draw</f>
        <v/>
      </c>
      <c r="O2" s="3">
        <f>MAX(M2,N2)</f>
        <v/>
      </c>
      <c r="P2" s="12">
        <f>IF(D2=0,0,O2/D2)</f>
        <v/>
      </c>
      <c r="Q2" s="2">
        <f>IF(F2&gt;=1.5,"≥150%",IF(F2&gt;=1.25,"125-149%",IF(F2&gt;=1,"100-124%",IF(F2&gt;=0.8,"80-99%","&lt;80%"))))</f>
        <v/>
      </c>
    </row>
    <row r="3">
      <c r="A3" s="2" t="inlineStr">
        <is>
          <t>Marcus Webb</t>
        </is>
      </c>
      <c r="B3" s="2" t="inlineStr">
        <is>
          <t>West</t>
        </is>
      </c>
      <c r="C3" s="2" t="inlineStr">
        <is>
          <t>Q2</t>
        </is>
      </c>
      <c r="D3" s="3" t="n">
        <v>350000</v>
      </c>
      <c r="E3" s="3">
        <f>SUMIFS(d_size,d_rep,A3,d_qtr,C3)</f>
        <v/>
      </c>
      <c r="F3" s="12">
        <f>IF(D3=0,0,E3/D3)</f>
        <v/>
      </c>
      <c r="G3" s="3">
        <f>MIN(E3,D3)*rate_t1</f>
        <v/>
      </c>
      <c r="H3" s="3">
        <f>MAX(MIN(E3,D3*t2_mult)-D3,0)*rate_t2</f>
        <v/>
      </c>
      <c r="I3" s="3">
        <f>MAX(E3-D3*t2_mult,0)*rate_t3</f>
        <v/>
      </c>
      <c r="J3" s="3">
        <f>MAX(E3-D3*accel_mult,0)*rate_accel</f>
        <v/>
      </c>
      <c r="K3" s="2">
        <f>COUNTIFS(d_rep,A3,d_qtr,C3,d_newlogo,"Y")</f>
        <v/>
      </c>
      <c r="L3" s="3">
        <f>K3*spiff_amt</f>
        <v/>
      </c>
      <c r="M3" s="3">
        <f>G3+H3+I3+J3+L3</f>
        <v/>
      </c>
      <c r="N3" s="3">
        <f>qtr_draw</f>
        <v/>
      </c>
      <c r="O3" s="3">
        <f>MAX(M3,N3)</f>
        <v/>
      </c>
      <c r="P3" s="12">
        <f>IF(D3=0,0,O3/D3)</f>
        <v/>
      </c>
      <c r="Q3" s="2">
        <f>IF(F3&gt;=1.5,"≥150%",IF(F3&gt;=1.25,"125-149%",IF(F3&gt;=1,"100-124%",IF(F3&gt;=0.8,"80-99%","&lt;80%"))))</f>
        <v/>
      </c>
    </row>
    <row r="4">
      <c r="A4" s="2" t="inlineStr">
        <is>
          <t>Marcus Webb</t>
        </is>
      </c>
      <c r="B4" s="2" t="inlineStr">
        <is>
          <t>West</t>
        </is>
      </c>
      <c r="C4" s="2" t="inlineStr">
        <is>
          <t>Q3</t>
        </is>
      </c>
      <c r="D4" s="3" t="n">
        <v>350000</v>
      </c>
      <c r="E4" s="3">
        <f>SUMIFS(d_size,d_rep,A4,d_qtr,C4)</f>
        <v/>
      </c>
      <c r="F4" s="12">
        <f>IF(D4=0,0,E4/D4)</f>
        <v/>
      </c>
      <c r="G4" s="3">
        <f>MIN(E4,D4)*rate_t1</f>
        <v/>
      </c>
      <c r="H4" s="3">
        <f>MAX(MIN(E4,D4*t2_mult)-D4,0)*rate_t2</f>
        <v/>
      </c>
      <c r="I4" s="3">
        <f>MAX(E4-D4*t2_mult,0)*rate_t3</f>
        <v/>
      </c>
      <c r="J4" s="3">
        <f>MAX(E4-D4*accel_mult,0)*rate_accel</f>
        <v/>
      </c>
      <c r="K4" s="2">
        <f>COUNTIFS(d_rep,A4,d_qtr,C4,d_newlogo,"Y")</f>
        <v/>
      </c>
      <c r="L4" s="3">
        <f>K4*spiff_amt</f>
        <v/>
      </c>
      <c r="M4" s="3">
        <f>G4+H4+I4+J4+L4</f>
        <v/>
      </c>
      <c r="N4" s="3">
        <f>qtr_draw</f>
        <v/>
      </c>
      <c r="O4" s="3">
        <f>MAX(M4,N4)</f>
        <v/>
      </c>
      <c r="P4" s="12">
        <f>IF(D4=0,0,O4/D4)</f>
        <v/>
      </c>
      <c r="Q4" s="2">
        <f>IF(F4&gt;=1.5,"≥150%",IF(F4&gt;=1.25,"125-149%",IF(F4&gt;=1,"100-124%",IF(F4&gt;=0.8,"80-99%","&lt;80%"))))</f>
        <v/>
      </c>
    </row>
    <row r="5">
      <c r="A5" s="2" t="inlineStr">
        <is>
          <t>Marcus Webb</t>
        </is>
      </c>
      <c r="B5" s="2" t="inlineStr">
        <is>
          <t>West</t>
        </is>
      </c>
      <c r="C5" s="2" t="inlineStr">
        <is>
          <t>Q4</t>
        </is>
      </c>
      <c r="D5" s="3" t="n">
        <v>350000</v>
      </c>
      <c r="E5" s="3">
        <f>SUMIFS(d_size,d_rep,A5,d_qtr,C5)</f>
        <v/>
      </c>
      <c r="F5" s="12">
        <f>IF(D5=0,0,E5/D5)</f>
        <v/>
      </c>
      <c r="G5" s="3">
        <f>MIN(E5,D5)*rate_t1</f>
        <v/>
      </c>
      <c r="H5" s="3">
        <f>MAX(MIN(E5,D5*t2_mult)-D5,0)*rate_t2</f>
        <v/>
      </c>
      <c r="I5" s="3">
        <f>MAX(E5-D5*t2_mult,0)*rate_t3</f>
        <v/>
      </c>
      <c r="J5" s="3">
        <f>MAX(E5-D5*accel_mult,0)*rate_accel</f>
        <v/>
      </c>
      <c r="K5" s="2">
        <f>COUNTIFS(d_rep,A5,d_qtr,C5,d_newlogo,"Y")</f>
        <v/>
      </c>
      <c r="L5" s="3">
        <f>K5*spiff_amt</f>
        <v/>
      </c>
      <c r="M5" s="3">
        <f>G5+H5+I5+J5+L5</f>
        <v/>
      </c>
      <c r="N5" s="3">
        <f>qtr_draw</f>
        <v/>
      </c>
      <c r="O5" s="3">
        <f>MAX(M5,N5)</f>
        <v/>
      </c>
      <c r="P5" s="12">
        <f>IF(D5=0,0,O5/D5)</f>
        <v/>
      </c>
      <c r="Q5" s="2">
        <f>IF(F5&gt;=1.5,"≥150%",IF(F5&gt;=1.25,"125-149%",IF(F5&gt;=1,"100-124%",IF(F5&gt;=0.8,"80-99%","&lt;80%"))))</f>
        <v/>
      </c>
    </row>
    <row r="6">
      <c r="A6" s="2" t="inlineStr">
        <is>
          <t>Priya Raman</t>
        </is>
      </c>
      <c r="B6" s="2" t="inlineStr">
        <is>
          <t>West</t>
        </is>
      </c>
      <c r="C6" s="2" t="inlineStr">
        <is>
          <t>Q1</t>
        </is>
      </c>
      <c r="D6" s="3" t="n">
        <v>350000</v>
      </c>
      <c r="E6" s="3">
        <f>SUMIFS(d_size,d_rep,A6,d_qtr,C6)</f>
        <v/>
      </c>
      <c r="F6" s="12">
        <f>IF(D6=0,0,E6/D6)</f>
        <v/>
      </c>
      <c r="G6" s="3">
        <f>MIN(E6,D6)*rate_t1</f>
        <v/>
      </c>
      <c r="H6" s="3">
        <f>MAX(MIN(E6,D6*t2_mult)-D6,0)*rate_t2</f>
        <v/>
      </c>
      <c r="I6" s="3">
        <f>MAX(E6-D6*t2_mult,0)*rate_t3</f>
        <v/>
      </c>
      <c r="J6" s="3">
        <f>MAX(E6-D6*accel_mult,0)*rate_accel</f>
        <v/>
      </c>
      <c r="K6" s="2">
        <f>COUNTIFS(d_rep,A6,d_qtr,C6,d_newlogo,"Y")</f>
        <v/>
      </c>
      <c r="L6" s="3">
        <f>K6*spiff_amt</f>
        <v/>
      </c>
      <c r="M6" s="3">
        <f>G6+H6+I6+J6+L6</f>
        <v/>
      </c>
      <c r="N6" s="3">
        <f>qtr_draw</f>
        <v/>
      </c>
      <c r="O6" s="3">
        <f>MAX(M6,N6)</f>
        <v/>
      </c>
      <c r="P6" s="12">
        <f>IF(D6=0,0,O6/D6)</f>
        <v/>
      </c>
      <c r="Q6" s="2">
        <f>IF(F6&gt;=1.5,"≥150%",IF(F6&gt;=1.25,"125-149%",IF(F6&gt;=1,"100-124%",IF(F6&gt;=0.8,"80-99%","&lt;80%"))))</f>
        <v/>
      </c>
    </row>
    <row r="7">
      <c r="A7" s="2" t="inlineStr">
        <is>
          <t>Priya Raman</t>
        </is>
      </c>
      <c r="B7" s="2" t="inlineStr">
        <is>
          <t>West</t>
        </is>
      </c>
      <c r="C7" s="2" t="inlineStr">
        <is>
          <t>Q2</t>
        </is>
      </c>
      <c r="D7" s="3" t="n">
        <v>350000</v>
      </c>
      <c r="E7" s="3">
        <f>SUMIFS(d_size,d_rep,A7,d_qtr,C7)</f>
        <v/>
      </c>
      <c r="F7" s="12">
        <f>IF(D7=0,0,E7/D7)</f>
        <v/>
      </c>
      <c r="G7" s="3">
        <f>MIN(E7,D7)*rate_t1</f>
        <v/>
      </c>
      <c r="H7" s="3">
        <f>MAX(MIN(E7,D7*t2_mult)-D7,0)*rate_t2</f>
        <v/>
      </c>
      <c r="I7" s="3">
        <f>MAX(E7-D7*t2_mult,0)*rate_t3</f>
        <v/>
      </c>
      <c r="J7" s="3">
        <f>MAX(E7-D7*accel_mult,0)*rate_accel</f>
        <v/>
      </c>
      <c r="K7" s="2">
        <f>COUNTIFS(d_rep,A7,d_qtr,C7,d_newlogo,"Y")</f>
        <v/>
      </c>
      <c r="L7" s="3">
        <f>K7*spiff_amt</f>
        <v/>
      </c>
      <c r="M7" s="3">
        <f>G7+H7+I7+J7+L7</f>
        <v/>
      </c>
      <c r="N7" s="3">
        <f>qtr_draw</f>
        <v/>
      </c>
      <c r="O7" s="3">
        <f>MAX(M7,N7)</f>
        <v/>
      </c>
      <c r="P7" s="12">
        <f>IF(D7=0,0,O7/D7)</f>
        <v/>
      </c>
      <c r="Q7" s="2">
        <f>IF(F7&gt;=1.5,"≥150%",IF(F7&gt;=1.25,"125-149%",IF(F7&gt;=1,"100-124%",IF(F7&gt;=0.8,"80-99%","&lt;80%"))))</f>
        <v/>
      </c>
    </row>
    <row r="8">
      <c r="A8" s="2" t="inlineStr">
        <is>
          <t>Priya Raman</t>
        </is>
      </c>
      <c r="B8" s="2" t="inlineStr">
        <is>
          <t>West</t>
        </is>
      </c>
      <c r="C8" s="2" t="inlineStr">
        <is>
          <t>Q3</t>
        </is>
      </c>
      <c r="D8" s="3" t="n">
        <v>350000</v>
      </c>
      <c r="E8" s="3">
        <f>SUMIFS(d_size,d_rep,A8,d_qtr,C8)</f>
        <v/>
      </c>
      <c r="F8" s="12">
        <f>IF(D8=0,0,E8/D8)</f>
        <v/>
      </c>
      <c r="G8" s="3">
        <f>MIN(E8,D8)*rate_t1</f>
        <v/>
      </c>
      <c r="H8" s="3">
        <f>MAX(MIN(E8,D8*t2_mult)-D8,0)*rate_t2</f>
        <v/>
      </c>
      <c r="I8" s="3">
        <f>MAX(E8-D8*t2_mult,0)*rate_t3</f>
        <v/>
      </c>
      <c r="J8" s="3">
        <f>MAX(E8-D8*accel_mult,0)*rate_accel</f>
        <v/>
      </c>
      <c r="K8" s="2">
        <f>COUNTIFS(d_rep,A8,d_qtr,C8,d_newlogo,"Y")</f>
        <v/>
      </c>
      <c r="L8" s="3">
        <f>K8*spiff_amt</f>
        <v/>
      </c>
      <c r="M8" s="3">
        <f>G8+H8+I8+J8+L8</f>
        <v/>
      </c>
      <c r="N8" s="3">
        <f>qtr_draw</f>
        <v/>
      </c>
      <c r="O8" s="3">
        <f>MAX(M8,N8)</f>
        <v/>
      </c>
      <c r="P8" s="12">
        <f>IF(D8=0,0,O8/D8)</f>
        <v/>
      </c>
      <c r="Q8" s="2">
        <f>IF(F8&gt;=1.5,"≥150%",IF(F8&gt;=1.25,"125-149%",IF(F8&gt;=1,"100-124%",IF(F8&gt;=0.8,"80-99%","&lt;80%"))))</f>
        <v/>
      </c>
    </row>
    <row r="9">
      <c r="A9" s="2" t="inlineStr">
        <is>
          <t>Priya Raman</t>
        </is>
      </c>
      <c r="B9" s="2" t="inlineStr">
        <is>
          <t>West</t>
        </is>
      </c>
      <c r="C9" s="2" t="inlineStr">
        <is>
          <t>Q4</t>
        </is>
      </c>
      <c r="D9" s="3" t="n">
        <v>350000</v>
      </c>
      <c r="E9" s="3">
        <f>SUMIFS(d_size,d_rep,A9,d_qtr,C9)</f>
        <v/>
      </c>
      <c r="F9" s="12">
        <f>IF(D9=0,0,E9/D9)</f>
        <v/>
      </c>
      <c r="G9" s="3">
        <f>MIN(E9,D9)*rate_t1</f>
        <v/>
      </c>
      <c r="H9" s="3">
        <f>MAX(MIN(E9,D9*t2_mult)-D9,0)*rate_t2</f>
        <v/>
      </c>
      <c r="I9" s="3">
        <f>MAX(E9-D9*t2_mult,0)*rate_t3</f>
        <v/>
      </c>
      <c r="J9" s="3">
        <f>MAX(E9-D9*accel_mult,0)*rate_accel</f>
        <v/>
      </c>
      <c r="K9" s="2">
        <f>COUNTIFS(d_rep,A9,d_qtr,C9,d_newlogo,"Y")</f>
        <v/>
      </c>
      <c r="L9" s="3">
        <f>K9*spiff_amt</f>
        <v/>
      </c>
      <c r="M9" s="3">
        <f>G9+H9+I9+J9+L9</f>
        <v/>
      </c>
      <c r="N9" s="3">
        <f>qtr_draw</f>
        <v/>
      </c>
      <c r="O9" s="3">
        <f>MAX(M9,N9)</f>
        <v/>
      </c>
      <c r="P9" s="12">
        <f>IF(D9=0,0,O9/D9)</f>
        <v/>
      </c>
      <c r="Q9" s="2">
        <f>IF(F9&gt;=1.5,"≥150%",IF(F9&gt;=1.25,"125-149%",IF(F9&gt;=1,"100-124%",IF(F9&gt;=0.8,"80-99%","&lt;80%"))))</f>
        <v/>
      </c>
    </row>
    <row r="10">
      <c r="A10" s="2" t="inlineStr">
        <is>
          <t>Jordan Ellis</t>
        </is>
      </c>
      <c r="B10" s="2" t="inlineStr">
        <is>
          <t>West</t>
        </is>
      </c>
      <c r="C10" s="2" t="inlineStr">
        <is>
          <t>Q1</t>
        </is>
      </c>
      <c r="D10" s="3" t="n">
        <v>300000</v>
      </c>
      <c r="E10" s="3">
        <f>SUMIFS(d_size,d_rep,A10,d_qtr,C10)</f>
        <v/>
      </c>
      <c r="F10" s="12">
        <f>IF(D10=0,0,E10/D10)</f>
        <v/>
      </c>
      <c r="G10" s="3">
        <f>MIN(E10,D10)*rate_t1</f>
        <v/>
      </c>
      <c r="H10" s="3">
        <f>MAX(MIN(E10,D10*t2_mult)-D10,0)*rate_t2</f>
        <v/>
      </c>
      <c r="I10" s="3">
        <f>MAX(E10-D10*t2_mult,0)*rate_t3</f>
        <v/>
      </c>
      <c r="J10" s="3">
        <f>MAX(E10-D10*accel_mult,0)*rate_accel</f>
        <v/>
      </c>
      <c r="K10" s="2">
        <f>COUNTIFS(d_rep,A10,d_qtr,C10,d_newlogo,"Y")</f>
        <v/>
      </c>
      <c r="L10" s="3">
        <f>K10*spiff_amt</f>
        <v/>
      </c>
      <c r="M10" s="3">
        <f>G10+H10+I10+J10+L10</f>
        <v/>
      </c>
      <c r="N10" s="3">
        <f>qtr_draw</f>
        <v/>
      </c>
      <c r="O10" s="3">
        <f>MAX(M10,N10)</f>
        <v/>
      </c>
      <c r="P10" s="12">
        <f>IF(D10=0,0,O10/D10)</f>
        <v/>
      </c>
      <c r="Q10" s="2">
        <f>IF(F10&gt;=1.5,"≥150%",IF(F10&gt;=1.25,"125-149%",IF(F10&gt;=1,"100-124%",IF(F10&gt;=0.8,"80-99%","&lt;80%"))))</f>
        <v/>
      </c>
    </row>
    <row r="11">
      <c r="A11" s="2" t="inlineStr">
        <is>
          <t>Jordan Ellis</t>
        </is>
      </c>
      <c r="B11" s="2" t="inlineStr">
        <is>
          <t>West</t>
        </is>
      </c>
      <c r="C11" s="2" t="inlineStr">
        <is>
          <t>Q2</t>
        </is>
      </c>
      <c r="D11" s="3" t="n">
        <v>300000</v>
      </c>
      <c r="E11" s="3">
        <f>SUMIFS(d_size,d_rep,A11,d_qtr,C11)</f>
        <v/>
      </c>
      <c r="F11" s="12">
        <f>IF(D11=0,0,E11/D11)</f>
        <v/>
      </c>
      <c r="G11" s="3">
        <f>MIN(E11,D11)*rate_t1</f>
        <v/>
      </c>
      <c r="H11" s="3">
        <f>MAX(MIN(E11,D11*t2_mult)-D11,0)*rate_t2</f>
        <v/>
      </c>
      <c r="I11" s="3">
        <f>MAX(E11-D11*t2_mult,0)*rate_t3</f>
        <v/>
      </c>
      <c r="J11" s="3">
        <f>MAX(E11-D11*accel_mult,0)*rate_accel</f>
        <v/>
      </c>
      <c r="K11" s="2">
        <f>COUNTIFS(d_rep,A11,d_qtr,C11,d_newlogo,"Y")</f>
        <v/>
      </c>
      <c r="L11" s="3">
        <f>K11*spiff_amt</f>
        <v/>
      </c>
      <c r="M11" s="3">
        <f>G11+H11+I11+J11+L11</f>
        <v/>
      </c>
      <c r="N11" s="3">
        <f>qtr_draw</f>
        <v/>
      </c>
      <c r="O11" s="3">
        <f>MAX(M11,N11)</f>
        <v/>
      </c>
      <c r="P11" s="12">
        <f>IF(D11=0,0,O11/D11)</f>
        <v/>
      </c>
      <c r="Q11" s="2">
        <f>IF(F11&gt;=1.5,"≥150%",IF(F11&gt;=1.25,"125-149%",IF(F11&gt;=1,"100-124%",IF(F11&gt;=0.8,"80-99%","&lt;80%"))))</f>
        <v/>
      </c>
    </row>
    <row r="12">
      <c r="A12" s="2" t="inlineStr">
        <is>
          <t>Jordan Ellis</t>
        </is>
      </c>
      <c r="B12" s="2" t="inlineStr">
        <is>
          <t>West</t>
        </is>
      </c>
      <c r="C12" s="2" t="inlineStr">
        <is>
          <t>Q3</t>
        </is>
      </c>
      <c r="D12" s="3" t="n">
        <v>300000</v>
      </c>
      <c r="E12" s="3">
        <f>SUMIFS(d_size,d_rep,A12,d_qtr,C12)</f>
        <v/>
      </c>
      <c r="F12" s="12">
        <f>IF(D12=0,0,E12/D12)</f>
        <v/>
      </c>
      <c r="G12" s="3">
        <f>MIN(E12,D12)*rate_t1</f>
        <v/>
      </c>
      <c r="H12" s="3">
        <f>MAX(MIN(E12,D12*t2_mult)-D12,0)*rate_t2</f>
        <v/>
      </c>
      <c r="I12" s="3">
        <f>MAX(E12-D12*t2_mult,0)*rate_t3</f>
        <v/>
      </c>
      <c r="J12" s="3">
        <f>MAX(E12-D12*accel_mult,0)*rate_accel</f>
        <v/>
      </c>
      <c r="K12" s="2">
        <f>COUNTIFS(d_rep,A12,d_qtr,C12,d_newlogo,"Y")</f>
        <v/>
      </c>
      <c r="L12" s="3">
        <f>K12*spiff_amt</f>
        <v/>
      </c>
      <c r="M12" s="3">
        <f>G12+H12+I12+J12+L12</f>
        <v/>
      </c>
      <c r="N12" s="3">
        <f>qtr_draw</f>
        <v/>
      </c>
      <c r="O12" s="3">
        <f>MAX(M12,N12)</f>
        <v/>
      </c>
      <c r="P12" s="12">
        <f>IF(D12=0,0,O12/D12)</f>
        <v/>
      </c>
      <c r="Q12" s="2">
        <f>IF(F12&gt;=1.5,"≥150%",IF(F12&gt;=1.25,"125-149%",IF(F12&gt;=1,"100-124%",IF(F12&gt;=0.8,"80-99%","&lt;80%"))))</f>
        <v/>
      </c>
    </row>
    <row r="13">
      <c r="A13" s="2" t="inlineStr">
        <is>
          <t>Jordan Ellis</t>
        </is>
      </c>
      <c r="B13" s="2" t="inlineStr">
        <is>
          <t>West</t>
        </is>
      </c>
      <c r="C13" s="2" t="inlineStr">
        <is>
          <t>Q4</t>
        </is>
      </c>
      <c r="D13" s="3" t="n">
        <v>300000</v>
      </c>
      <c r="E13" s="3">
        <f>SUMIFS(d_size,d_rep,A13,d_qtr,C13)</f>
        <v/>
      </c>
      <c r="F13" s="12">
        <f>IF(D13=0,0,E13/D13)</f>
        <v/>
      </c>
      <c r="G13" s="3">
        <f>MIN(E13,D13)*rate_t1</f>
        <v/>
      </c>
      <c r="H13" s="3">
        <f>MAX(MIN(E13,D13*t2_mult)-D13,0)*rate_t2</f>
        <v/>
      </c>
      <c r="I13" s="3">
        <f>MAX(E13-D13*t2_mult,0)*rate_t3</f>
        <v/>
      </c>
      <c r="J13" s="3">
        <f>MAX(E13-D13*accel_mult,0)*rate_accel</f>
        <v/>
      </c>
      <c r="K13" s="2">
        <f>COUNTIFS(d_rep,A13,d_qtr,C13,d_newlogo,"Y")</f>
        <v/>
      </c>
      <c r="L13" s="3">
        <f>K13*spiff_amt</f>
        <v/>
      </c>
      <c r="M13" s="3">
        <f>G13+H13+I13+J13+L13</f>
        <v/>
      </c>
      <c r="N13" s="3">
        <f>qtr_draw</f>
        <v/>
      </c>
      <c r="O13" s="3">
        <f>MAX(M13,N13)</f>
        <v/>
      </c>
      <c r="P13" s="12">
        <f>IF(D13=0,0,O13/D13)</f>
        <v/>
      </c>
      <c r="Q13" s="2">
        <f>IF(F13&gt;=1.5,"≥150%",IF(F13&gt;=1.25,"125-149%",IF(F13&gt;=1,"100-124%",IF(F13&gt;=0.8,"80-99%","&lt;80%"))))</f>
        <v/>
      </c>
    </row>
    <row r="14">
      <c r="A14" s="2" t="inlineStr">
        <is>
          <t>Sofia Delgado</t>
        </is>
      </c>
      <c r="B14" s="2" t="inlineStr">
        <is>
          <t>Central</t>
        </is>
      </c>
      <c r="C14" s="2" t="inlineStr">
        <is>
          <t>Q1</t>
        </is>
      </c>
      <c r="D14" s="3" t="n">
        <v>300000</v>
      </c>
      <c r="E14" s="3">
        <f>SUMIFS(d_size,d_rep,A14,d_qtr,C14)</f>
        <v/>
      </c>
      <c r="F14" s="12">
        <f>IF(D14=0,0,E14/D14)</f>
        <v/>
      </c>
      <c r="G14" s="3">
        <f>MIN(E14,D14)*rate_t1</f>
        <v/>
      </c>
      <c r="H14" s="3">
        <f>MAX(MIN(E14,D14*t2_mult)-D14,0)*rate_t2</f>
        <v/>
      </c>
      <c r="I14" s="3">
        <f>MAX(E14-D14*t2_mult,0)*rate_t3</f>
        <v/>
      </c>
      <c r="J14" s="3">
        <f>MAX(E14-D14*accel_mult,0)*rate_accel</f>
        <v/>
      </c>
      <c r="K14" s="2">
        <f>COUNTIFS(d_rep,A14,d_qtr,C14,d_newlogo,"Y")</f>
        <v/>
      </c>
      <c r="L14" s="3">
        <f>K14*spiff_amt</f>
        <v/>
      </c>
      <c r="M14" s="3">
        <f>G14+H14+I14+J14+L14</f>
        <v/>
      </c>
      <c r="N14" s="3">
        <f>qtr_draw</f>
        <v/>
      </c>
      <c r="O14" s="3">
        <f>MAX(M14,N14)</f>
        <v/>
      </c>
      <c r="P14" s="12">
        <f>IF(D14=0,0,O14/D14)</f>
        <v/>
      </c>
      <c r="Q14" s="2">
        <f>IF(F14&gt;=1.5,"≥150%",IF(F14&gt;=1.25,"125-149%",IF(F14&gt;=1,"100-124%",IF(F14&gt;=0.8,"80-99%","&lt;80%"))))</f>
        <v/>
      </c>
    </row>
    <row r="15">
      <c r="A15" s="2" t="inlineStr">
        <is>
          <t>Sofia Delgado</t>
        </is>
      </c>
      <c r="B15" s="2" t="inlineStr">
        <is>
          <t>Central</t>
        </is>
      </c>
      <c r="C15" s="2" t="inlineStr">
        <is>
          <t>Q2</t>
        </is>
      </c>
      <c r="D15" s="3" t="n">
        <v>300000</v>
      </c>
      <c r="E15" s="3">
        <f>SUMIFS(d_size,d_rep,A15,d_qtr,C15)</f>
        <v/>
      </c>
      <c r="F15" s="12">
        <f>IF(D15=0,0,E15/D15)</f>
        <v/>
      </c>
      <c r="G15" s="3">
        <f>MIN(E15,D15)*rate_t1</f>
        <v/>
      </c>
      <c r="H15" s="3">
        <f>MAX(MIN(E15,D15*t2_mult)-D15,0)*rate_t2</f>
        <v/>
      </c>
      <c r="I15" s="3">
        <f>MAX(E15-D15*t2_mult,0)*rate_t3</f>
        <v/>
      </c>
      <c r="J15" s="3">
        <f>MAX(E15-D15*accel_mult,0)*rate_accel</f>
        <v/>
      </c>
      <c r="K15" s="2">
        <f>COUNTIFS(d_rep,A15,d_qtr,C15,d_newlogo,"Y")</f>
        <v/>
      </c>
      <c r="L15" s="3">
        <f>K15*spiff_amt</f>
        <v/>
      </c>
      <c r="M15" s="3">
        <f>G15+H15+I15+J15+L15</f>
        <v/>
      </c>
      <c r="N15" s="3">
        <f>qtr_draw</f>
        <v/>
      </c>
      <c r="O15" s="3">
        <f>MAX(M15,N15)</f>
        <v/>
      </c>
      <c r="P15" s="12">
        <f>IF(D15=0,0,O15/D15)</f>
        <v/>
      </c>
      <c r="Q15" s="2">
        <f>IF(F15&gt;=1.5,"≥150%",IF(F15&gt;=1.25,"125-149%",IF(F15&gt;=1,"100-124%",IF(F15&gt;=0.8,"80-99%","&lt;80%"))))</f>
        <v/>
      </c>
    </row>
    <row r="16">
      <c r="A16" s="2" t="inlineStr">
        <is>
          <t>Sofia Delgado</t>
        </is>
      </c>
      <c r="B16" s="2" t="inlineStr">
        <is>
          <t>Central</t>
        </is>
      </c>
      <c r="C16" s="2" t="inlineStr">
        <is>
          <t>Q3</t>
        </is>
      </c>
      <c r="D16" s="3" t="n">
        <v>300000</v>
      </c>
      <c r="E16" s="3">
        <f>SUMIFS(d_size,d_rep,A16,d_qtr,C16)</f>
        <v/>
      </c>
      <c r="F16" s="12">
        <f>IF(D16=0,0,E16/D16)</f>
        <v/>
      </c>
      <c r="G16" s="3">
        <f>MIN(E16,D16)*rate_t1</f>
        <v/>
      </c>
      <c r="H16" s="3">
        <f>MAX(MIN(E16,D16*t2_mult)-D16,0)*rate_t2</f>
        <v/>
      </c>
      <c r="I16" s="3">
        <f>MAX(E16-D16*t2_mult,0)*rate_t3</f>
        <v/>
      </c>
      <c r="J16" s="3">
        <f>MAX(E16-D16*accel_mult,0)*rate_accel</f>
        <v/>
      </c>
      <c r="K16" s="2">
        <f>COUNTIFS(d_rep,A16,d_qtr,C16,d_newlogo,"Y")</f>
        <v/>
      </c>
      <c r="L16" s="3">
        <f>K16*spiff_amt</f>
        <v/>
      </c>
      <c r="M16" s="3">
        <f>G16+H16+I16+J16+L16</f>
        <v/>
      </c>
      <c r="N16" s="3">
        <f>qtr_draw</f>
        <v/>
      </c>
      <c r="O16" s="3">
        <f>MAX(M16,N16)</f>
        <v/>
      </c>
      <c r="P16" s="12">
        <f>IF(D16=0,0,O16/D16)</f>
        <v/>
      </c>
      <c r="Q16" s="2">
        <f>IF(F16&gt;=1.5,"≥150%",IF(F16&gt;=1.25,"125-149%",IF(F16&gt;=1,"100-124%",IF(F16&gt;=0.8,"80-99%","&lt;80%"))))</f>
        <v/>
      </c>
    </row>
    <row r="17">
      <c r="A17" s="2" t="inlineStr">
        <is>
          <t>Sofia Delgado</t>
        </is>
      </c>
      <c r="B17" s="2" t="inlineStr">
        <is>
          <t>Central</t>
        </is>
      </c>
      <c r="C17" s="2" t="inlineStr">
        <is>
          <t>Q4</t>
        </is>
      </c>
      <c r="D17" s="3" t="n">
        <v>300000</v>
      </c>
      <c r="E17" s="3">
        <f>SUMIFS(d_size,d_rep,A17,d_qtr,C17)</f>
        <v/>
      </c>
      <c r="F17" s="12">
        <f>IF(D17=0,0,E17/D17)</f>
        <v/>
      </c>
      <c r="G17" s="3">
        <f>MIN(E17,D17)*rate_t1</f>
        <v/>
      </c>
      <c r="H17" s="3">
        <f>MAX(MIN(E17,D17*t2_mult)-D17,0)*rate_t2</f>
        <v/>
      </c>
      <c r="I17" s="3">
        <f>MAX(E17-D17*t2_mult,0)*rate_t3</f>
        <v/>
      </c>
      <c r="J17" s="3">
        <f>MAX(E17-D17*accel_mult,0)*rate_accel</f>
        <v/>
      </c>
      <c r="K17" s="2">
        <f>COUNTIFS(d_rep,A17,d_qtr,C17,d_newlogo,"Y")</f>
        <v/>
      </c>
      <c r="L17" s="3">
        <f>K17*spiff_amt</f>
        <v/>
      </c>
      <c r="M17" s="3">
        <f>G17+H17+I17+J17+L17</f>
        <v/>
      </c>
      <c r="N17" s="3">
        <f>qtr_draw</f>
        <v/>
      </c>
      <c r="O17" s="3">
        <f>MAX(M17,N17)</f>
        <v/>
      </c>
      <c r="P17" s="12">
        <f>IF(D17=0,0,O17/D17)</f>
        <v/>
      </c>
      <c r="Q17" s="2">
        <f>IF(F17&gt;=1.5,"≥150%",IF(F17&gt;=1.25,"125-149%",IF(F17&gt;=1,"100-124%",IF(F17&gt;=0.8,"80-99%","&lt;80%"))))</f>
        <v/>
      </c>
    </row>
    <row r="18">
      <c r="A18" s="2" t="inlineStr">
        <is>
          <t>Tyler Brooks</t>
        </is>
      </c>
      <c r="B18" s="2" t="inlineStr">
        <is>
          <t>Central</t>
        </is>
      </c>
      <c r="C18" s="2" t="inlineStr">
        <is>
          <t>Q1</t>
        </is>
      </c>
      <c r="D18" s="3" t="n">
        <v>300000</v>
      </c>
      <c r="E18" s="3">
        <f>SUMIFS(d_size,d_rep,A18,d_qtr,C18)</f>
        <v/>
      </c>
      <c r="F18" s="12">
        <f>IF(D18=0,0,E18/D18)</f>
        <v/>
      </c>
      <c r="G18" s="3">
        <f>MIN(E18,D18)*rate_t1</f>
        <v/>
      </c>
      <c r="H18" s="3">
        <f>MAX(MIN(E18,D18*t2_mult)-D18,0)*rate_t2</f>
        <v/>
      </c>
      <c r="I18" s="3">
        <f>MAX(E18-D18*t2_mult,0)*rate_t3</f>
        <v/>
      </c>
      <c r="J18" s="3">
        <f>MAX(E18-D18*accel_mult,0)*rate_accel</f>
        <v/>
      </c>
      <c r="K18" s="2">
        <f>COUNTIFS(d_rep,A18,d_qtr,C18,d_newlogo,"Y")</f>
        <v/>
      </c>
      <c r="L18" s="3">
        <f>K18*spiff_amt</f>
        <v/>
      </c>
      <c r="M18" s="3">
        <f>G18+H18+I18+J18+L18</f>
        <v/>
      </c>
      <c r="N18" s="3">
        <f>qtr_draw</f>
        <v/>
      </c>
      <c r="O18" s="3">
        <f>MAX(M18,N18)</f>
        <v/>
      </c>
      <c r="P18" s="12">
        <f>IF(D18=0,0,O18/D18)</f>
        <v/>
      </c>
      <c r="Q18" s="2">
        <f>IF(F18&gt;=1.5,"≥150%",IF(F18&gt;=1.25,"125-149%",IF(F18&gt;=1,"100-124%",IF(F18&gt;=0.8,"80-99%","&lt;80%"))))</f>
        <v/>
      </c>
    </row>
    <row r="19">
      <c r="A19" s="2" t="inlineStr">
        <is>
          <t>Tyler Brooks</t>
        </is>
      </c>
      <c r="B19" s="2" t="inlineStr">
        <is>
          <t>Central</t>
        </is>
      </c>
      <c r="C19" s="2" t="inlineStr">
        <is>
          <t>Q2</t>
        </is>
      </c>
      <c r="D19" s="3" t="n">
        <v>300000</v>
      </c>
      <c r="E19" s="3">
        <f>SUMIFS(d_size,d_rep,A19,d_qtr,C19)</f>
        <v/>
      </c>
      <c r="F19" s="12">
        <f>IF(D19=0,0,E19/D19)</f>
        <v/>
      </c>
      <c r="G19" s="3">
        <f>MIN(E19,D19)*rate_t1</f>
        <v/>
      </c>
      <c r="H19" s="3">
        <f>MAX(MIN(E19,D19*t2_mult)-D19,0)*rate_t2</f>
        <v/>
      </c>
      <c r="I19" s="3">
        <f>MAX(E19-D19*t2_mult,0)*rate_t3</f>
        <v/>
      </c>
      <c r="J19" s="3">
        <f>MAX(E19-D19*accel_mult,0)*rate_accel</f>
        <v/>
      </c>
      <c r="K19" s="2">
        <f>COUNTIFS(d_rep,A19,d_qtr,C19,d_newlogo,"Y")</f>
        <v/>
      </c>
      <c r="L19" s="3">
        <f>K19*spiff_amt</f>
        <v/>
      </c>
      <c r="M19" s="3">
        <f>G19+H19+I19+J19+L19</f>
        <v/>
      </c>
      <c r="N19" s="3">
        <f>qtr_draw</f>
        <v/>
      </c>
      <c r="O19" s="3">
        <f>MAX(M19,N19)</f>
        <v/>
      </c>
      <c r="P19" s="12">
        <f>IF(D19=0,0,O19/D19)</f>
        <v/>
      </c>
      <c r="Q19" s="2">
        <f>IF(F19&gt;=1.5,"≥150%",IF(F19&gt;=1.25,"125-149%",IF(F19&gt;=1,"100-124%",IF(F19&gt;=0.8,"80-99%","&lt;80%"))))</f>
        <v/>
      </c>
    </row>
    <row r="20">
      <c r="A20" s="2" t="inlineStr">
        <is>
          <t>Tyler Brooks</t>
        </is>
      </c>
      <c r="B20" s="2" t="inlineStr">
        <is>
          <t>Central</t>
        </is>
      </c>
      <c r="C20" s="2" t="inlineStr">
        <is>
          <t>Q3</t>
        </is>
      </c>
      <c r="D20" s="3" t="n">
        <v>300000</v>
      </c>
      <c r="E20" s="3">
        <f>SUMIFS(d_size,d_rep,A20,d_qtr,C20)</f>
        <v/>
      </c>
      <c r="F20" s="12">
        <f>IF(D20=0,0,E20/D20)</f>
        <v/>
      </c>
      <c r="G20" s="3">
        <f>MIN(E20,D20)*rate_t1</f>
        <v/>
      </c>
      <c r="H20" s="3">
        <f>MAX(MIN(E20,D20*t2_mult)-D20,0)*rate_t2</f>
        <v/>
      </c>
      <c r="I20" s="3">
        <f>MAX(E20-D20*t2_mult,0)*rate_t3</f>
        <v/>
      </c>
      <c r="J20" s="3">
        <f>MAX(E20-D20*accel_mult,0)*rate_accel</f>
        <v/>
      </c>
      <c r="K20" s="2">
        <f>COUNTIFS(d_rep,A20,d_qtr,C20,d_newlogo,"Y")</f>
        <v/>
      </c>
      <c r="L20" s="3">
        <f>K20*spiff_amt</f>
        <v/>
      </c>
      <c r="M20" s="3">
        <f>G20+H20+I20+J20+L20</f>
        <v/>
      </c>
      <c r="N20" s="3">
        <f>qtr_draw</f>
        <v/>
      </c>
      <c r="O20" s="3">
        <f>MAX(M20,N20)</f>
        <v/>
      </c>
      <c r="P20" s="12">
        <f>IF(D20=0,0,O20/D20)</f>
        <v/>
      </c>
      <c r="Q20" s="2">
        <f>IF(F20&gt;=1.5,"≥150%",IF(F20&gt;=1.25,"125-149%",IF(F20&gt;=1,"100-124%",IF(F20&gt;=0.8,"80-99%","&lt;80%"))))</f>
        <v/>
      </c>
    </row>
    <row r="21">
      <c r="A21" s="2" t="inlineStr">
        <is>
          <t>Tyler Brooks</t>
        </is>
      </c>
      <c r="B21" s="2" t="inlineStr">
        <is>
          <t>Central</t>
        </is>
      </c>
      <c r="C21" s="2" t="inlineStr">
        <is>
          <t>Q4</t>
        </is>
      </c>
      <c r="D21" s="3" t="n">
        <v>300000</v>
      </c>
      <c r="E21" s="3">
        <f>SUMIFS(d_size,d_rep,A21,d_qtr,C21)</f>
        <v/>
      </c>
      <c r="F21" s="12">
        <f>IF(D21=0,0,E21/D21)</f>
        <v/>
      </c>
      <c r="G21" s="3">
        <f>MIN(E21,D21)*rate_t1</f>
        <v/>
      </c>
      <c r="H21" s="3">
        <f>MAX(MIN(E21,D21*t2_mult)-D21,0)*rate_t2</f>
        <v/>
      </c>
      <c r="I21" s="3">
        <f>MAX(E21-D21*t2_mult,0)*rate_t3</f>
        <v/>
      </c>
      <c r="J21" s="3">
        <f>MAX(E21-D21*accel_mult,0)*rate_accel</f>
        <v/>
      </c>
      <c r="K21" s="2">
        <f>COUNTIFS(d_rep,A21,d_qtr,C21,d_newlogo,"Y")</f>
        <v/>
      </c>
      <c r="L21" s="3">
        <f>K21*spiff_amt</f>
        <v/>
      </c>
      <c r="M21" s="3">
        <f>G21+H21+I21+J21+L21</f>
        <v/>
      </c>
      <c r="N21" s="3">
        <f>qtr_draw</f>
        <v/>
      </c>
      <c r="O21" s="3">
        <f>MAX(M21,N21)</f>
        <v/>
      </c>
      <c r="P21" s="12">
        <f>IF(D21=0,0,O21/D21)</f>
        <v/>
      </c>
      <c r="Q21" s="2">
        <f>IF(F21&gt;=1.5,"≥150%",IF(F21&gt;=1.25,"125-149%",IF(F21&gt;=1,"100-124%",IF(F21&gt;=0.8,"80-99%","&lt;80%"))))</f>
        <v/>
      </c>
    </row>
    <row r="22">
      <c r="A22" s="2" t="inlineStr">
        <is>
          <t>Aisha Khan</t>
        </is>
      </c>
      <c r="B22" s="2" t="inlineStr">
        <is>
          <t>Central</t>
        </is>
      </c>
      <c r="C22" s="2" t="inlineStr">
        <is>
          <t>Q1</t>
        </is>
      </c>
      <c r="D22" s="3" t="n">
        <v>275000</v>
      </c>
      <c r="E22" s="3">
        <f>SUMIFS(d_size,d_rep,A22,d_qtr,C22)</f>
        <v/>
      </c>
      <c r="F22" s="12">
        <f>IF(D22=0,0,E22/D22)</f>
        <v/>
      </c>
      <c r="G22" s="3">
        <f>MIN(E22,D22)*rate_t1</f>
        <v/>
      </c>
      <c r="H22" s="3">
        <f>MAX(MIN(E22,D22*t2_mult)-D22,0)*rate_t2</f>
        <v/>
      </c>
      <c r="I22" s="3">
        <f>MAX(E22-D22*t2_mult,0)*rate_t3</f>
        <v/>
      </c>
      <c r="J22" s="3">
        <f>MAX(E22-D22*accel_mult,0)*rate_accel</f>
        <v/>
      </c>
      <c r="K22" s="2">
        <f>COUNTIFS(d_rep,A22,d_qtr,C22,d_newlogo,"Y")</f>
        <v/>
      </c>
      <c r="L22" s="3">
        <f>K22*spiff_amt</f>
        <v/>
      </c>
      <c r="M22" s="3">
        <f>G22+H22+I22+J22+L22</f>
        <v/>
      </c>
      <c r="N22" s="3">
        <f>qtr_draw</f>
        <v/>
      </c>
      <c r="O22" s="3">
        <f>MAX(M22,N22)</f>
        <v/>
      </c>
      <c r="P22" s="12">
        <f>IF(D22=0,0,O22/D22)</f>
        <v/>
      </c>
      <c r="Q22" s="2">
        <f>IF(F22&gt;=1.5,"≥150%",IF(F22&gt;=1.25,"125-149%",IF(F22&gt;=1,"100-124%",IF(F22&gt;=0.8,"80-99%","&lt;80%"))))</f>
        <v/>
      </c>
    </row>
    <row r="23">
      <c r="A23" s="2" t="inlineStr">
        <is>
          <t>Aisha Khan</t>
        </is>
      </c>
      <c r="B23" s="2" t="inlineStr">
        <is>
          <t>Central</t>
        </is>
      </c>
      <c r="C23" s="2" t="inlineStr">
        <is>
          <t>Q2</t>
        </is>
      </c>
      <c r="D23" s="3" t="n">
        <v>275000</v>
      </c>
      <c r="E23" s="3">
        <f>SUMIFS(d_size,d_rep,A23,d_qtr,C23)</f>
        <v/>
      </c>
      <c r="F23" s="12">
        <f>IF(D23=0,0,E23/D23)</f>
        <v/>
      </c>
      <c r="G23" s="3">
        <f>MIN(E23,D23)*rate_t1</f>
        <v/>
      </c>
      <c r="H23" s="3">
        <f>MAX(MIN(E23,D23*t2_mult)-D23,0)*rate_t2</f>
        <v/>
      </c>
      <c r="I23" s="3">
        <f>MAX(E23-D23*t2_mult,0)*rate_t3</f>
        <v/>
      </c>
      <c r="J23" s="3">
        <f>MAX(E23-D23*accel_mult,0)*rate_accel</f>
        <v/>
      </c>
      <c r="K23" s="2">
        <f>COUNTIFS(d_rep,A23,d_qtr,C23,d_newlogo,"Y")</f>
        <v/>
      </c>
      <c r="L23" s="3">
        <f>K23*spiff_amt</f>
        <v/>
      </c>
      <c r="M23" s="3">
        <f>G23+H23+I23+J23+L23</f>
        <v/>
      </c>
      <c r="N23" s="3">
        <f>qtr_draw</f>
        <v/>
      </c>
      <c r="O23" s="3">
        <f>MAX(M23,N23)</f>
        <v/>
      </c>
      <c r="P23" s="12">
        <f>IF(D23=0,0,O23/D23)</f>
        <v/>
      </c>
      <c r="Q23" s="2">
        <f>IF(F23&gt;=1.5,"≥150%",IF(F23&gt;=1.25,"125-149%",IF(F23&gt;=1,"100-124%",IF(F23&gt;=0.8,"80-99%","&lt;80%"))))</f>
        <v/>
      </c>
    </row>
    <row r="24">
      <c r="A24" s="2" t="inlineStr">
        <is>
          <t>Aisha Khan</t>
        </is>
      </c>
      <c r="B24" s="2" t="inlineStr">
        <is>
          <t>Central</t>
        </is>
      </c>
      <c r="C24" s="2" t="inlineStr">
        <is>
          <t>Q3</t>
        </is>
      </c>
      <c r="D24" s="3" t="n">
        <v>275000</v>
      </c>
      <c r="E24" s="3">
        <f>SUMIFS(d_size,d_rep,A24,d_qtr,C24)</f>
        <v/>
      </c>
      <c r="F24" s="12">
        <f>IF(D24=0,0,E24/D24)</f>
        <v/>
      </c>
      <c r="G24" s="3">
        <f>MIN(E24,D24)*rate_t1</f>
        <v/>
      </c>
      <c r="H24" s="3">
        <f>MAX(MIN(E24,D24*t2_mult)-D24,0)*rate_t2</f>
        <v/>
      </c>
      <c r="I24" s="3">
        <f>MAX(E24-D24*t2_mult,0)*rate_t3</f>
        <v/>
      </c>
      <c r="J24" s="3">
        <f>MAX(E24-D24*accel_mult,0)*rate_accel</f>
        <v/>
      </c>
      <c r="K24" s="2">
        <f>COUNTIFS(d_rep,A24,d_qtr,C24,d_newlogo,"Y")</f>
        <v/>
      </c>
      <c r="L24" s="3">
        <f>K24*spiff_amt</f>
        <v/>
      </c>
      <c r="M24" s="3">
        <f>G24+H24+I24+J24+L24</f>
        <v/>
      </c>
      <c r="N24" s="3">
        <f>qtr_draw</f>
        <v/>
      </c>
      <c r="O24" s="3">
        <f>MAX(M24,N24)</f>
        <v/>
      </c>
      <c r="P24" s="12">
        <f>IF(D24=0,0,O24/D24)</f>
        <v/>
      </c>
      <c r="Q24" s="2">
        <f>IF(F24&gt;=1.5,"≥150%",IF(F24&gt;=1.25,"125-149%",IF(F24&gt;=1,"100-124%",IF(F24&gt;=0.8,"80-99%","&lt;80%"))))</f>
        <v/>
      </c>
    </row>
    <row r="25">
      <c r="A25" s="2" t="inlineStr">
        <is>
          <t>Aisha Khan</t>
        </is>
      </c>
      <c r="B25" s="2" t="inlineStr">
        <is>
          <t>Central</t>
        </is>
      </c>
      <c r="C25" s="2" t="inlineStr">
        <is>
          <t>Q4</t>
        </is>
      </c>
      <c r="D25" s="3" t="n">
        <v>275000</v>
      </c>
      <c r="E25" s="3">
        <f>SUMIFS(d_size,d_rep,A25,d_qtr,C25)</f>
        <v/>
      </c>
      <c r="F25" s="12">
        <f>IF(D25=0,0,E25/D25)</f>
        <v/>
      </c>
      <c r="G25" s="3">
        <f>MIN(E25,D25)*rate_t1</f>
        <v/>
      </c>
      <c r="H25" s="3">
        <f>MAX(MIN(E25,D25*t2_mult)-D25,0)*rate_t2</f>
        <v/>
      </c>
      <c r="I25" s="3">
        <f>MAX(E25-D25*t2_mult,0)*rate_t3</f>
        <v/>
      </c>
      <c r="J25" s="3">
        <f>MAX(E25-D25*accel_mult,0)*rate_accel</f>
        <v/>
      </c>
      <c r="K25" s="2">
        <f>COUNTIFS(d_rep,A25,d_qtr,C25,d_newlogo,"Y")</f>
        <v/>
      </c>
      <c r="L25" s="3">
        <f>K25*spiff_amt</f>
        <v/>
      </c>
      <c r="M25" s="3">
        <f>G25+H25+I25+J25+L25</f>
        <v/>
      </c>
      <c r="N25" s="3">
        <f>qtr_draw</f>
        <v/>
      </c>
      <c r="O25" s="3">
        <f>MAX(M25,N25)</f>
        <v/>
      </c>
      <c r="P25" s="12">
        <f>IF(D25=0,0,O25/D25)</f>
        <v/>
      </c>
      <c r="Q25" s="2">
        <f>IF(F25&gt;=1.5,"≥150%",IF(F25&gt;=1.25,"125-149%",IF(F25&gt;=1,"100-124%",IF(F25&gt;=0.8,"80-99%","&lt;80%"))))</f>
        <v/>
      </c>
    </row>
    <row r="26">
      <c r="A26" s="2" t="inlineStr">
        <is>
          <t>Daniel Okafor</t>
        </is>
      </c>
      <c r="B26" s="2" t="inlineStr">
        <is>
          <t>East</t>
        </is>
      </c>
      <c r="C26" s="2" t="inlineStr">
        <is>
          <t>Q1</t>
        </is>
      </c>
      <c r="D26" s="3" t="n">
        <v>350000</v>
      </c>
      <c r="E26" s="3">
        <f>SUMIFS(d_size,d_rep,A26,d_qtr,C26)</f>
        <v/>
      </c>
      <c r="F26" s="12">
        <f>IF(D26=0,0,E26/D26)</f>
        <v/>
      </c>
      <c r="G26" s="3">
        <f>MIN(E26,D26)*rate_t1</f>
        <v/>
      </c>
      <c r="H26" s="3">
        <f>MAX(MIN(E26,D26*t2_mult)-D26,0)*rate_t2</f>
        <v/>
      </c>
      <c r="I26" s="3">
        <f>MAX(E26-D26*t2_mult,0)*rate_t3</f>
        <v/>
      </c>
      <c r="J26" s="3">
        <f>MAX(E26-D26*accel_mult,0)*rate_accel</f>
        <v/>
      </c>
      <c r="K26" s="2">
        <f>COUNTIFS(d_rep,A26,d_qtr,C26,d_newlogo,"Y")</f>
        <v/>
      </c>
      <c r="L26" s="3">
        <f>K26*spiff_amt</f>
        <v/>
      </c>
      <c r="M26" s="3">
        <f>G26+H26+I26+J26+L26</f>
        <v/>
      </c>
      <c r="N26" s="3">
        <f>qtr_draw</f>
        <v/>
      </c>
      <c r="O26" s="3">
        <f>MAX(M26,N26)</f>
        <v/>
      </c>
      <c r="P26" s="12">
        <f>IF(D26=0,0,O26/D26)</f>
        <v/>
      </c>
      <c r="Q26" s="2">
        <f>IF(F26&gt;=1.5,"≥150%",IF(F26&gt;=1.25,"125-149%",IF(F26&gt;=1,"100-124%",IF(F26&gt;=0.8,"80-99%","&lt;80%"))))</f>
        <v/>
      </c>
    </row>
    <row r="27">
      <c r="A27" s="2" t="inlineStr">
        <is>
          <t>Daniel Okafor</t>
        </is>
      </c>
      <c r="B27" s="2" t="inlineStr">
        <is>
          <t>East</t>
        </is>
      </c>
      <c r="C27" s="2" t="inlineStr">
        <is>
          <t>Q2</t>
        </is>
      </c>
      <c r="D27" s="3" t="n">
        <v>350000</v>
      </c>
      <c r="E27" s="3">
        <f>SUMIFS(d_size,d_rep,A27,d_qtr,C27)</f>
        <v/>
      </c>
      <c r="F27" s="12">
        <f>IF(D27=0,0,E27/D27)</f>
        <v/>
      </c>
      <c r="G27" s="3">
        <f>MIN(E27,D27)*rate_t1</f>
        <v/>
      </c>
      <c r="H27" s="3">
        <f>MAX(MIN(E27,D27*t2_mult)-D27,0)*rate_t2</f>
        <v/>
      </c>
      <c r="I27" s="3">
        <f>MAX(E27-D27*t2_mult,0)*rate_t3</f>
        <v/>
      </c>
      <c r="J27" s="3">
        <f>MAX(E27-D27*accel_mult,0)*rate_accel</f>
        <v/>
      </c>
      <c r="K27" s="2">
        <f>COUNTIFS(d_rep,A27,d_qtr,C27,d_newlogo,"Y")</f>
        <v/>
      </c>
      <c r="L27" s="3">
        <f>K27*spiff_amt</f>
        <v/>
      </c>
      <c r="M27" s="3">
        <f>G27+H27+I27+J27+L27</f>
        <v/>
      </c>
      <c r="N27" s="3">
        <f>qtr_draw</f>
        <v/>
      </c>
      <c r="O27" s="3">
        <f>MAX(M27,N27)</f>
        <v/>
      </c>
      <c r="P27" s="12">
        <f>IF(D27=0,0,O27/D27)</f>
        <v/>
      </c>
      <c r="Q27" s="2">
        <f>IF(F27&gt;=1.5,"≥150%",IF(F27&gt;=1.25,"125-149%",IF(F27&gt;=1,"100-124%",IF(F27&gt;=0.8,"80-99%","&lt;80%"))))</f>
        <v/>
      </c>
    </row>
    <row r="28">
      <c r="A28" s="2" t="inlineStr">
        <is>
          <t>Daniel Okafor</t>
        </is>
      </c>
      <c r="B28" s="2" t="inlineStr">
        <is>
          <t>East</t>
        </is>
      </c>
      <c r="C28" s="2" t="inlineStr">
        <is>
          <t>Q3</t>
        </is>
      </c>
      <c r="D28" s="3" t="n">
        <v>350000</v>
      </c>
      <c r="E28" s="3">
        <f>SUMIFS(d_size,d_rep,A28,d_qtr,C28)</f>
        <v/>
      </c>
      <c r="F28" s="12">
        <f>IF(D28=0,0,E28/D28)</f>
        <v/>
      </c>
      <c r="G28" s="3">
        <f>MIN(E28,D28)*rate_t1</f>
        <v/>
      </c>
      <c r="H28" s="3">
        <f>MAX(MIN(E28,D28*t2_mult)-D28,0)*rate_t2</f>
        <v/>
      </c>
      <c r="I28" s="3">
        <f>MAX(E28-D28*t2_mult,0)*rate_t3</f>
        <v/>
      </c>
      <c r="J28" s="3">
        <f>MAX(E28-D28*accel_mult,0)*rate_accel</f>
        <v/>
      </c>
      <c r="K28" s="2">
        <f>COUNTIFS(d_rep,A28,d_qtr,C28,d_newlogo,"Y")</f>
        <v/>
      </c>
      <c r="L28" s="3">
        <f>K28*spiff_amt</f>
        <v/>
      </c>
      <c r="M28" s="3">
        <f>G28+H28+I28+J28+L28</f>
        <v/>
      </c>
      <c r="N28" s="3">
        <f>qtr_draw</f>
        <v/>
      </c>
      <c r="O28" s="3">
        <f>MAX(M28,N28)</f>
        <v/>
      </c>
      <c r="P28" s="12">
        <f>IF(D28=0,0,O28/D28)</f>
        <v/>
      </c>
      <c r="Q28" s="2">
        <f>IF(F28&gt;=1.5,"≥150%",IF(F28&gt;=1.25,"125-149%",IF(F28&gt;=1,"100-124%",IF(F28&gt;=0.8,"80-99%","&lt;80%"))))</f>
        <v/>
      </c>
    </row>
    <row r="29">
      <c r="A29" s="2" t="inlineStr">
        <is>
          <t>Daniel Okafor</t>
        </is>
      </c>
      <c r="B29" s="2" t="inlineStr">
        <is>
          <t>East</t>
        </is>
      </c>
      <c r="C29" s="2" t="inlineStr">
        <is>
          <t>Q4</t>
        </is>
      </c>
      <c r="D29" s="3" t="n">
        <v>350000</v>
      </c>
      <c r="E29" s="3">
        <f>SUMIFS(d_size,d_rep,A29,d_qtr,C29)</f>
        <v/>
      </c>
      <c r="F29" s="12">
        <f>IF(D29=0,0,E29/D29)</f>
        <v/>
      </c>
      <c r="G29" s="3">
        <f>MIN(E29,D29)*rate_t1</f>
        <v/>
      </c>
      <c r="H29" s="3">
        <f>MAX(MIN(E29,D29*t2_mult)-D29,0)*rate_t2</f>
        <v/>
      </c>
      <c r="I29" s="3">
        <f>MAX(E29-D29*t2_mult,0)*rate_t3</f>
        <v/>
      </c>
      <c r="J29" s="3">
        <f>MAX(E29-D29*accel_mult,0)*rate_accel</f>
        <v/>
      </c>
      <c r="K29" s="2">
        <f>COUNTIFS(d_rep,A29,d_qtr,C29,d_newlogo,"Y")</f>
        <v/>
      </c>
      <c r="L29" s="3">
        <f>K29*spiff_amt</f>
        <v/>
      </c>
      <c r="M29" s="3">
        <f>G29+H29+I29+J29+L29</f>
        <v/>
      </c>
      <c r="N29" s="3">
        <f>qtr_draw</f>
        <v/>
      </c>
      <c r="O29" s="3">
        <f>MAX(M29,N29)</f>
        <v/>
      </c>
      <c r="P29" s="12">
        <f>IF(D29=0,0,O29/D29)</f>
        <v/>
      </c>
      <c r="Q29" s="2">
        <f>IF(F29&gt;=1.5,"≥150%",IF(F29&gt;=1.25,"125-149%",IF(F29&gt;=1,"100-124%",IF(F29&gt;=0.8,"80-99%","&lt;80%"))))</f>
        <v/>
      </c>
    </row>
    <row r="30">
      <c r="A30" s="2" t="inlineStr">
        <is>
          <t>Lena Fischer</t>
        </is>
      </c>
      <c r="B30" s="2" t="inlineStr">
        <is>
          <t>East</t>
        </is>
      </c>
      <c r="C30" s="2" t="inlineStr">
        <is>
          <t>Q1</t>
        </is>
      </c>
      <c r="D30" s="3" t="n">
        <v>325000</v>
      </c>
      <c r="E30" s="3">
        <f>SUMIFS(d_size,d_rep,A30,d_qtr,C30)</f>
        <v/>
      </c>
      <c r="F30" s="12">
        <f>IF(D30=0,0,E30/D30)</f>
        <v/>
      </c>
      <c r="G30" s="3">
        <f>MIN(E30,D30)*rate_t1</f>
        <v/>
      </c>
      <c r="H30" s="3">
        <f>MAX(MIN(E30,D30*t2_mult)-D30,0)*rate_t2</f>
        <v/>
      </c>
      <c r="I30" s="3">
        <f>MAX(E30-D30*t2_mult,0)*rate_t3</f>
        <v/>
      </c>
      <c r="J30" s="3">
        <f>MAX(E30-D30*accel_mult,0)*rate_accel</f>
        <v/>
      </c>
      <c r="K30" s="2">
        <f>COUNTIFS(d_rep,A30,d_qtr,C30,d_newlogo,"Y")</f>
        <v/>
      </c>
      <c r="L30" s="3">
        <f>K30*spiff_amt</f>
        <v/>
      </c>
      <c r="M30" s="3">
        <f>G30+H30+I30+J30+L30</f>
        <v/>
      </c>
      <c r="N30" s="3">
        <f>qtr_draw</f>
        <v/>
      </c>
      <c r="O30" s="3">
        <f>MAX(M30,N30)</f>
        <v/>
      </c>
      <c r="P30" s="12">
        <f>IF(D30=0,0,O30/D30)</f>
        <v/>
      </c>
      <c r="Q30" s="2">
        <f>IF(F30&gt;=1.5,"≥150%",IF(F30&gt;=1.25,"125-149%",IF(F30&gt;=1,"100-124%",IF(F30&gt;=0.8,"80-99%","&lt;80%"))))</f>
        <v/>
      </c>
    </row>
    <row r="31">
      <c r="A31" s="2" t="inlineStr">
        <is>
          <t>Lena Fischer</t>
        </is>
      </c>
      <c r="B31" s="2" t="inlineStr">
        <is>
          <t>East</t>
        </is>
      </c>
      <c r="C31" s="2" t="inlineStr">
        <is>
          <t>Q2</t>
        </is>
      </c>
      <c r="D31" s="3" t="n">
        <v>325000</v>
      </c>
      <c r="E31" s="3">
        <f>SUMIFS(d_size,d_rep,A31,d_qtr,C31)</f>
        <v/>
      </c>
      <c r="F31" s="12">
        <f>IF(D31=0,0,E31/D31)</f>
        <v/>
      </c>
      <c r="G31" s="3">
        <f>MIN(E31,D31)*rate_t1</f>
        <v/>
      </c>
      <c r="H31" s="3">
        <f>MAX(MIN(E31,D31*t2_mult)-D31,0)*rate_t2</f>
        <v/>
      </c>
      <c r="I31" s="3">
        <f>MAX(E31-D31*t2_mult,0)*rate_t3</f>
        <v/>
      </c>
      <c r="J31" s="3">
        <f>MAX(E31-D31*accel_mult,0)*rate_accel</f>
        <v/>
      </c>
      <c r="K31" s="2">
        <f>COUNTIFS(d_rep,A31,d_qtr,C31,d_newlogo,"Y")</f>
        <v/>
      </c>
      <c r="L31" s="3">
        <f>K31*spiff_amt</f>
        <v/>
      </c>
      <c r="M31" s="3">
        <f>G31+H31+I31+J31+L31</f>
        <v/>
      </c>
      <c r="N31" s="3">
        <f>qtr_draw</f>
        <v/>
      </c>
      <c r="O31" s="3">
        <f>MAX(M31,N31)</f>
        <v/>
      </c>
      <c r="P31" s="12">
        <f>IF(D31=0,0,O31/D31)</f>
        <v/>
      </c>
      <c r="Q31" s="2">
        <f>IF(F31&gt;=1.5,"≥150%",IF(F31&gt;=1.25,"125-149%",IF(F31&gt;=1,"100-124%",IF(F31&gt;=0.8,"80-99%","&lt;80%"))))</f>
        <v/>
      </c>
    </row>
    <row r="32">
      <c r="A32" s="2" t="inlineStr">
        <is>
          <t>Lena Fischer</t>
        </is>
      </c>
      <c r="B32" s="2" t="inlineStr">
        <is>
          <t>East</t>
        </is>
      </c>
      <c r="C32" s="2" t="inlineStr">
        <is>
          <t>Q3</t>
        </is>
      </c>
      <c r="D32" s="3" t="n">
        <v>325000</v>
      </c>
      <c r="E32" s="3">
        <f>SUMIFS(d_size,d_rep,A32,d_qtr,C32)</f>
        <v/>
      </c>
      <c r="F32" s="12">
        <f>IF(D32=0,0,E32/D32)</f>
        <v/>
      </c>
      <c r="G32" s="3">
        <f>MIN(E32,D32)*rate_t1</f>
        <v/>
      </c>
      <c r="H32" s="3">
        <f>MAX(MIN(E32,D32*t2_mult)-D32,0)*rate_t2</f>
        <v/>
      </c>
      <c r="I32" s="3">
        <f>MAX(E32-D32*t2_mult,0)*rate_t3</f>
        <v/>
      </c>
      <c r="J32" s="3">
        <f>MAX(E32-D32*accel_mult,0)*rate_accel</f>
        <v/>
      </c>
      <c r="K32" s="2">
        <f>COUNTIFS(d_rep,A32,d_qtr,C32,d_newlogo,"Y")</f>
        <v/>
      </c>
      <c r="L32" s="3">
        <f>K32*spiff_amt</f>
        <v/>
      </c>
      <c r="M32" s="3">
        <f>G32+H32+I32+J32+L32</f>
        <v/>
      </c>
      <c r="N32" s="3">
        <f>qtr_draw</f>
        <v/>
      </c>
      <c r="O32" s="3">
        <f>MAX(M32,N32)</f>
        <v/>
      </c>
      <c r="P32" s="12">
        <f>IF(D32=0,0,O32/D32)</f>
        <v/>
      </c>
      <c r="Q32" s="2">
        <f>IF(F32&gt;=1.5,"≥150%",IF(F32&gt;=1.25,"125-149%",IF(F32&gt;=1,"100-124%",IF(F32&gt;=0.8,"80-99%","&lt;80%"))))</f>
        <v/>
      </c>
    </row>
    <row r="33">
      <c r="A33" s="2" t="inlineStr">
        <is>
          <t>Lena Fischer</t>
        </is>
      </c>
      <c r="B33" s="2" t="inlineStr">
        <is>
          <t>East</t>
        </is>
      </c>
      <c r="C33" s="2" t="inlineStr">
        <is>
          <t>Q4</t>
        </is>
      </c>
      <c r="D33" s="3" t="n">
        <v>325000</v>
      </c>
      <c r="E33" s="3">
        <f>SUMIFS(d_size,d_rep,A33,d_qtr,C33)</f>
        <v/>
      </c>
      <c r="F33" s="12">
        <f>IF(D33=0,0,E33/D33)</f>
        <v/>
      </c>
      <c r="G33" s="3">
        <f>MIN(E33,D33)*rate_t1</f>
        <v/>
      </c>
      <c r="H33" s="3">
        <f>MAX(MIN(E33,D33*t2_mult)-D33,0)*rate_t2</f>
        <v/>
      </c>
      <c r="I33" s="3">
        <f>MAX(E33-D33*t2_mult,0)*rate_t3</f>
        <v/>
      </c>
      <c r="J33" s="3">
        <f>MAX(E33-D33*accel_mult,0)*rate_accel</f>
        <v/>
      </c>
      <c r="K33" s="2">
        <f>COUNTIFS(d_rep,A33,d_qtr,C33,d_newlogo,"Y")</f>
        <v/>
      </c>
      <c r="L33" s="3">
        <f>K33*spiff_amt</f>
        <v/>
      </c>
      <c r="M33" s="3">
        <f>G33+H33+I33+J33+L33</f>
        <v/>
      </c>
      <c r="N33" s="3">
        <f>qtr_draw</f>
        <v/>
      </c>
      <c r="O33" s="3">
        <f>MAX(M33,N33)</f>
        <v/>
      </c>
      <c r="P33" s="12">
        <f>IF(D33=0,0,O33/D33)</f>
        <v/>
      </c>
      <c r="Q33" s="2">
        <f>IF(F33&gt;=1.5,"≥150%",IF(F33&gt;=1.25,"125-149%",IF(F33&gt;=1,"100-124%",IF(F33&gt;=0.8,"80-99%","&lt;80%"))))</f>
        <v/>
      </c>
    </row>
    <row r="34">
      <c r="A34" s="2" t="inlineStr">
        <is>
          <t>Chris Novak</t>
        </is>
      </c>
      <c r="B34" s="2" t="inlineStr">
        <is>
          <t>East</t>
        </is>
      </c>
      <c r="C34" s="2" t="inlineStr">
        <is>
          <t>Q1</t>
        </is>
      </c>
      <c r="D34" s="3" t="n">
        <v>300000</v>
      </c>
      <c r="E34" s="3">
        <f>SUMIFS(d_size,d_rep,A34,d_qtr,C34)</f>
        <v/>
      </c>
      <c r="F34" s="12">
        <f>IF(D34=0,0,E34/D34)</f>
        <v/>
      </c>
      <c r="G34" s="3">
        <f>MIN(E34,D34)*rate_t1</f>
        <v/>
      </c>
      <c r="H34" s="3">
        <f>MAX(MIN(E34,D34*t2_mult)-D34,0)*rate_t2</f>
        <v/>
      </c>
      <c r="I34" s="3">
        <f>MAX(E34-D34*t2_mult,0)*rate_t3</f>
        <v/>
      </c>
      <c r="J34" s="3">
        <f>MAX(E34-D34*accel_mult,0)*rate_accel</f>
        <v/>
      </c>
      <c r="K34" s="2">
        <f>COUNTIFS(d_rep,A34,d_qtr,C34,d_newlogo,"Y")</f>
        <v/>
      </c>
      <c r="L34" s="3">
        <f>K34*spiff_amt</f>
        <v/>
      </c>
      <c r="M34" s="3">
        <f>G34+H34+I34+J34+L34</f>
        <v/>
      </c>
      <c r="N34" s="3">
        <f>qtr_draw</f>
        <v/>
      </c>
      <c r="O34" s="3">
        <f>MAX(M34,N34)</f>
        <v/>
      </c>
      <c r="P34" s="12">
        <f>IF(D34=0,0,O34/D34)</f>
        <v/>
      </c>
      <c r="Q34" s="2">
        <f>IF(F34&gt;=1.5,"≥150%",IF(F34&gt;=1.25,"125-149%",IF(F34&gt;=1,"100-124%",IF(F34&gt;=0.8,"80-99%","&lt;80%"))))</f>
        <v/>
      </c>
    </row>
    <row r="35">
      <c r="A35" s="2" t="inlineStr">
        <is>
          <t>Chris Novak</t>
        </is>
      </c>
      <c r="B35" s="2" t="inlineStr">
        <is>
          <t>East</t>
        </is>
      </c>
      <c r="C35" s="2" t="inlineStr">
        <is>
          <t>Q2</t>
        </is>
      </c>
      <c r="D35" s="3" t="n">
        <v>300000</v>
      </c>
      <c r="E35" s="3">
        <f>SUMIFS(d_size,d_rep,A35,d_qtr,C35)</f>
        <v/>
      </c>
      <c r="F35" s="12">
        <f>IF(D35=0,0,E35/D35)</f>
        <v/>
      </c>
      <c r="G35" s="3">
        <f>MIN(E35,D35)*rate_t1</f>
        <v/>
      </c>
      <c r="H35" s="3">
        <f>MAX(MIN(E35,D35*t2_mult)-D35,0)*rate_t2</f>
        <v/>
      </c>
      <c r="I35" s="3">
        <f>MAX(E35-D35*t2_mult,0)*rate_t3</f>
        <v/>
      </c>
      <c r="J35" s="3">
        <f>MAX(E35-D35*accel_mult,0)*rate_accel</f>
        <v/>
      </c>
      <c r="K35" s="2">
        <f>COUNTIFS(d_rep,A35,d_qtr,C35,d_newlogo,"Y")</f>
        <v/>
      </c>
      <c r="L35" s="3">
        <f>K35*spiff_amt</f>
        <v/>
      </c>
      <c r="M35" s="3">
        <f>G35+H35+I35+J35+L35</f>
        <v/>
      </c>
      <c r="N35" s="3">
        <f>qtr_draw</f>
        <v/>
      </c>
      <c r="O35" s="3">
        <f>MAX(M35,N35)</f>
        <v/>
      </c>
      <c r="P35" s="12">
        <f>IF(D35=0,0,O35/D35)</f>
        <v/>
      </c>
      <c r="Q35" s="2">
        <f>IF(F35&gt;=1.5,"≥150%",IF(F35&gt;=1.25,"125-149%",IF(F35&gt;=1,"100-124%",IF(F35&gt;=0.8,"80-99%","&lt;80%"))))</f>
        <v/>
      </c>
    </row>
    <row r="36">
      <c r="A36" s="2" t="inlineStr">
        <is>
          <t>Chris Novak</t>
        </is>
      </c>
      <c r="B36" s="2" t="inlineStr">
        <is>
          <t>East</t>
        </is>
      </c>
      <c r="C36" s="2" t="inlineStr">
        <is>
          <t>Q3</t>
        </is>
      </c>
      <c r="D36" s="3" t="n">
        <v>300000</v>
      </c>
      <c r="E36" s="3">
        <f>SUMIFS(d_size,d_rep,A36,d_qtr,C36)</f>
        <v/>
      </c>
      <c r="F36" s="12">
        <f>IF(D36=0,0,E36/D36)</f>
        <v/>
      </c>
      <c r="G36" s="3">
        <f>MIN(E36,D36)*rate_t1</f>
        <v/>
      </c>
      <c r="H36" s="3">
        <f>MAX(MIN(E36,D36*t2_mult)-D36,0)*rate_t2</f>
        <v/>
      </c>
      <c r="I36" s="3">
        <f>MAX(E36-D36*t2_mult,0)*rate_t3</f>
        <v/>
      </c>
      <c r="J36" s="3">
        <f>MAX(E36-D36*accel_mult,0)*rate_accel</f>
        <v/>
      </c>
      <c r="K36" s="2">
        <f>COUNTIFS(d_rep,A36,d_qtr,C36,d_newlogo,"Y")</f>
        <v/>
      </c>
      <c r="L36" s="3">
        <f>K36*spiff_amt</f>
        <v/>
      </c>
      <c r="M36" s="3">
        <f>G36+H36+I36+J36+L36</f>
        <v/>
      </c>
      <c r="N36" s="3">
        <f>qtr_draw</f>
        <v/>
      </c>
      <c r="O36" s="3">
        <f>MAX(M36,N36)</f>
        <v/>
      </c>
      <c r="P36" s="12">
        <f>IF(D36=0,0,O36/D36)</f>
        <v/>
      </c>
      <c r="Q36" s="2">
        <f>IF(F36&gt;=1.5,"≥150%",IF(F36&gt;=1.25,"125-149%",IF(F36&gt;=1,"100-124%",IF(F36&gt;=0.8,"80-99%","&lt;80%"))))</f>
        <v/>
      </c>
    </row>
    <row r="37">
      <c r="A37" s="2" t="inlineStr">
        <is>
          <t>Chris Novak</t>
        </is>
      </c>
      <c r="B37" s="2" t="inlineStr">
        <is>
          <t>East</t>
        </is>
      </c>
      <c r="C37" s="2" t="inlineStr">
        <is>
          <t>Q4</t>
        </is>
      </c>
      <c r="D37" s="3" t="n">
        <v>300000</v>
      </c>
      <c r="E37" s="3">
        <f>SUMIFS(d_size,d_rep,A37,d_qtr,C37)</f>
        <v/>
      </c>
      <c r="F37" s="12">
        <f>IF(D37=0,0,E37/D37)</f>
        <v/>
      </c>
      <c r="G37" s="3">
        <f>MIN(E37,D37)*rate_t1</f>
        <v/>
      </c>
      <c r="H37" s="3">
        <f>MAX(MIN(E37,D37*t2_mult)-D37,0)*rate_t2</f>
        <v/>
      </c>
      <c r="I37" s="3">
        <f>MAX(E37-D37*t2_mult,0)*rate_t3</f>
        <v/>
      </c>
      <c r="J37" s="3">
        <f>MAX(E37-D37*accel_mult,0)*rate_accel</f>
        <v/>
      </c>
      <c r="K37" s="2">
        <f>COUNTIFS(d_rep,A37,d_qtr,C37,d_newlogo,"Y")</f>
        <v/>
      </c>
      <c r="L37" s="3">
        <f>K37*spiff_amt</f>
        <v/>
      </c>
      <c r="M37" s="3">
        <f>G37+H37+I37+J37+L37</f>
        <v/>
      </c>
      <c r="N37" s="3">
        <f>qtr_draw</f>
        <v/>
      </c>
      <c r="O37" s="3">
        <f>MAX(M37,N37)</f>
        <v/>
      </c>
      <c r="P37" s="12">
        <f>IF(D37=0,0,O37/D37)</f>
        <v/>
      </c>
      <c r="Q37" s="2">
        <f>IF(F37&gt;=1.5,"≥150%",IF(F37&gt;=1.25,"125-149%",IF(F37&gt;=1,"100-124%",IF(F37&gt;=0.8,"80-99%","&lt;80%"))))</f>
        <v/>
      </c>
    </row>
    <row r="38">
      <c r="A38" s="2" t="inlineStr">
        <is>
          <t>Maria Santos</t>
        </is>
      </c>
      <c r="B38" s="2" t="inlineStr">
        <is>
          <t>South</t>
        </is>
      </c>
      <c r="C38" s="2" t="inlineStr">
        <is>
          <t>Q1</t>
        </is>
      </c>
      <c r="D38" s="3" t="n">
        <v>300000</v>
      </c>
      <c r="E38" s="3">
        <f>SUMIFS(d_size,d_rep,A38,d_qtr,C38)</f>
        <v/>
      </c>
      <c r="F38" s="12">
        <f>IF(D38=0,0,E38/D38)</f>
        <v/>
      </c>
      <c r="G38" s="3">
        <f>MIN(E38,D38)*rate_t1</f>
        <v/>
      </c>
      <c r="H38" s="3">
        <f>MAX(MIN(E38,D38*t2_mult)-D38,0)*rate_t2</f>
        <v/>
      </c>
      <c r="I38" s="3">
        <f>MAX(E38-D38*t2_mult,0)*rate_t3</f>
        <v/>
      </c>
      <c r="J38" s="3">
        <f>MAX(E38-D38*accel_mult,0)*rate_accel</f>
        <v/>
      </c>
      <c r="K38" s="2">
        <f>COUNTIFS(d_rep,A38,d_qtr,C38,d_newlogo,"Y")</f>
        <v/>
      </c>
      <c r="L38" s="3">
        <f>K38*spiff_amt</f>
        <v/>
      </c>
      <c r="M38" s="3">
        <f>G38+H38+I38+J38+L38</f>
        <v/>
      </c>
      <c r="N38" s="3">
        <f>qtr_draw</f>
        <v/>
      </c>
      <c r="O38" s="3">
        <f>MAX(M38,N38)</f>
        <v/>
      </c>
      <c r="P38" s="12">
        <f>IF(D38=0,0,O38/D38)</f>
        <v/>
      </c>
      <c r="Q38" s="2">
        <f>IF(F38&gt;=1.5,"≥150%",IF(F38&gt;=1.25,"125-149%",IF(F38&gt;=1,"100-124%",IF(F38&gt;=0.8,"80-99%","&lt;80%"))))</f>
        <v/>
      </c>
    </row>
    <row r="39">
      <c r="A39" s="2" t="inlineStr">
        <is>
          <t>Maria Santos</t>
        </is>
      </c>
      <c r="B39" s="2" t="inlineStr">
        <is>
          <t>South</t>
        </is>
      </c>
      <c r="C39" s="2" t="inlineStr">
        <is>
          <t>Q2</t>
        </is>
      </c>
      <c r="D39" s="3" t="n">
        <v>300000</v>
      </c>
      <c r="E39" s="3">
        <f>SUMIFS(d_size,d_rep,A39,d_qtr,C39)</f>
        <v/>
      </c>
      <c r="F39" s="12">
        <f>IF(D39=0,0,E39/D39)</f>
        <v/>
      </c>
      <c r="G39" s="3">
        <f>MIN(E39,D39)*rate_t1</f>
        <v/>
      </c>
      <c r="H39" s="3">
        <f>MAX(MIN(E39,D39*t2_mult)-D39,0)*rate_t2</f>
        <v/>
      </c>
      <c r="I39" s="3">
        <f>MAX(E39-D39*t2_mult,0)*rate_t3</f>
        <v/>
      </c>
      <c r="J39" s="3">
        <f>MAX(E39-D39*accel_mult,0)*rate_accel</f>
        <v/>
      </c>
      <c r="K39" s="2">
        <f>COUNTIFS(d_rep,A39,d_qtr,C39,d_newlogo,"Y")</f>
        <v/>
      </c>
      <c r="L39" s="3">
        <f>K39*spiff_amt</f>
        <v/>
      </c>
      <c r="M39" s="3">
        <f>G39+H39+I39+J39+L39</f>
        <v/>
      </c>
      <c r="N39" s="3">
        <f>qtr_draw</f>
        <v/>
      </c>
      <c r="O39" s="3">
        <f>MAX(M39,N39)</f>
        <v/>
      </c>
      <c r="P39" s="12">
        <f>IF(D39=0,0,O39/D39)</f>
        <v/>
      </c>
      <c r="Q39" s="2">
        <f>IF(F39&gt;=1.5,"≥150%",IF(F39&gt;=1.25,"125-149%",IF(F39&gt;=1,"100-124%",IF(F39&gt;=0.8,"80-99%","&lt;80%"))))</f>
        <v/>
      </c>
    </row>
    <row r="40">
      <c r="A40" s="2" t="inlineStr">
        <is>
          <t>Maria Santos</t>
        </is>
      </c>
      <c r="B40" s="2" t="inlineStr">
        <is>
          <t>South</t>
        </is>
      </c>
      <c r="C40" s="2" t="inlineStr">
        <is>
          <t>Q3</t>
        </is>
      </c>
      <c r="D40" s="3" t="n">
        <v>300000</v>
      </c>
      <c r="E40" s="3">
        <f>SUMIFS(d_size,d_rep,A40,d_qtr,C40)</f>
        <v/>
      </c>
      <c r="F40" s="12">
        <f>IF(D40=0,0,E40/D40)</f>
        <v/>
      </c>
      <c r="G40" s="3">
        <f>MIN(E40,D40)*rate_t1</f>
        <v/>
      </c>
      <c r="H40" s="3">
        <f>MAX(MIN(E40,D40*t2_mult)-D40,0)*rate_t2</f>
        <v/>
      </c>
      <c r="I40" s="3">
        <f>MAX(E40-D40*t2_mult,0)*rate_t3</f>
        <v/>
      </c>
      <c r="J40" s="3">
        <f>MAX(E40-D40*accel_mult,0)*rate_accel</f>
        <v/>
      </c>
      <c r="K40" s="2">
        <f>COUNTIFS(d_rep,A40,d_qtr,C40,d_newlogo,"Y")</f>
        <v/>
      </c>
      <c r="L40" s="3">
        <f>K40*spiff_amt</f>
        <v/>
      </c>
      <c r="M40" s="3">
        <f>G40+H40+I40+J40+L40</f>
        <v/>
      </c>
      <c r="N40" s="3">
        <f>qtr_draw</f>
        <v/>
      </c>
      <c r="O40" s="3">
        <f>MAX(M40,N40)</f>
        <v/>
      </c>
      <c r="P40" s="12">
        <f>IF(D40=0,0,O40/D40)</f>
        <v/>
      </c>
      <c r="Q40" s="2">
        <f>IF(F40&gt;=1.5,"≥150%",IF(F40&gt;=1.25,"125-149%",IF(F40&gt;=1,"100-124%",IF(F40&gt;=0.8,"80-99%","&lt;80%"))))</f>
        <v/>
      </c>
    </row>
    <row r="41">
      <c r="A41" s="2" t="inlineStr">
        <is>
          <t>Maria Santos</t>
        </is>
      </c>
      <c r="B41" s="2" t="inlineStr">
        <is>
          <t>South</t>
        </is>
      </c>
      <c r="C41" s="2" t="inlineStr">
        <is>
          <t>Q4</t>
        </is>
      </c>
      <c r="D41" s="3" t="n">
        <v>300000</v>
      </c>
      <c r="E41" s="3">
        <f>SUMIFS(d_size,d_rep,A41,d_qtr,C41)</f>
        <v/>
      </c>
      <c r="F41" s="12">
        <f>IF(D41=0,0,E41/D41)</f>
        <v/>
      </c>
      <c r="G41" s="3">
        <f>MIN(E41,D41)*rate_t1</f>
        <v/>
      </c>
      <c r="H41" s="3">
        <f>MAX(MIN(E41,D41*t2_mult)-D41,0)*rate_t2</f>
        <v/>
      </c>
      <c r="I41" s="3">
        <f>MAX(E41-D41*t2_mult,0)*rate_t3</f>
        <v/>
      </c>
      <c r="J41" s="3">
        <f>MAX(E41-D41*accel_mult,0)*rate_accel</f>
        <v/>
      </c>
      <c r="K41" s="2">
        <f>COUNTIFS(d_rep,A41,d_qtr,C41,d_newlogo,"Y")</f>
        <v/>
      </c>
      <c r="L41" s="3">
        <f>K41*spiff_amt</f>
        <v/>
      </c>
      <c r="M41" s="3">
        <f>G41+H41+I41+J41+L41</f>
        <v/>
      </c>
      <c r="N41" s="3">
        <f>qtr_draw</f>
        <v/>
      </c>
      <c r="O41" s="3">
        <f>MAX(M41,N41)</f>
        <v/>
      </c>
      <c r="P41" s="12">
        <f>IF(D41=0,0,O41/D41)</f>
        <v/>
      </c>
      <c r="Q41" s="2">
        <f>IF(F41&gt;=1.5,"≥150%",IF(F41&gt;=1.25,"125-149%",IF(F41&gt;=1,"100-124%",IF(F41&gt;=0.8,"80-99%","&lt;80%"))))</f>
        <v/>
      </c>
    </row>
    <row r="42">
      <c r="A42" s="2" t="inlineStr">
        <is>
          <t>James Park</t>
        </is>
      </c>
      <c r="B42" s="2" t="inlineStr">
        <is>
          <t>South</t>
        </is>
      </c>
      <c r="C42" s="2" t="inlineStr">
        <is>
          <t>Q1</t>
        </is>
      </c>
      <c r="D42" s="3" t="n">
        <v>275000</v>
      </c>
      <c r="E42" s="3">
        <f>SUMIFS(d_size,d_rep,A42,d_qtr,C42)</f>
        <v/>
      </c>
      <c r="F42" s="12">
        <f>IF(D42=0,0,E42/D42)</f>
        <v/>
      </c>
      <c r="G42" s="3">
        <f>MIN(E42,D42)*rate_t1</f>
        <v/>
      </c>
      <c r="H42" s="3">
        <f>MAX(MIN(E42,D42*t2_mult)-D42,0)*rate_t2</f>
        <v/>
      </c>
      <c r="I42" s="3">
        <f>MAX(E42-D42*t2_mult,0)*rate_t3</f>
        <v/>
      </c>
      <c r="J42" s="3">
        <f>MAX(E42-D42*accel_mult,0)*rate_accel</f>
        <v/>
      </c>
      <c r="K42" s="2">
        <f>COUNTIFS(d_rep,A42,d_qtr,C42,d_newlogo,"Y")</f>
        <v/>
      </c>
      <c r="L42" s="3">
        <f>K42*spiff_amt</f>
        <v/>
      </c>
      <c r="M42" s="3">
        <f>G42+H42+I42+J42+L42</f>
        <v/>
      </c>
      <c r="N42" s="3">
        <f>qtr_draw</f>
        <v/>
      </c>
      <c r="O42" s="3">
        <f>MAX(M42,N42)</f>
        <v/>
      </c>
      <c r="P42" s="12">
        <f>IF(D42=0,0,O42/D42)</f>
        <v/>
      </c>
      <c r="Q42" s="2">
        <f>IF(F42&gt;=1.5,"≥150%",IF(F42&gt;=1.25,"125-149%",IF(F42&gt;=1,"100-124%",IF(F42&gt;=0.8,"80-99%","&lt;80%"))))</f>
        <v/>
      </c>
    </row>
    <row r="43">
      <c r="A43" s="2" t="inlineStr">
        <is>
          <t>James Park</t>
        </is>
      </c>
      <c r="B43" s="2" t="inlineStr">
        <is>
          <t>South</t>
        </is>
      </c>
      <c r="C43" s="2" t="inlineStr">
        <is>
          <t>Q2</t>
        </is>
      </c>
      <c r="D43" s="3" t="n">
        <v>275000</v>
      </c>
      <c r="E43" s="3">
        <f>SUMIFS(d_size,d_rep,A43,d_qtr,C43)</f>
        <v/>
      </c>
      <c r="F43" s="12">
        <f>IF(D43=0,0,E43/D43)</f>
        <v/>
      </c>
      <c r="G43" s="3">
        <f>MIN(E43,D43)*rate_t1</f>
        <v/>
      </c>
      <c r="H43" s="3">
        <f>MAX(MIN(E43,D43*t2_mult)-D43,0)*rate_t2</f>
        <v/>
      </c>
      <c r="I43" s="3">
        <f>MAX(E43-D43*t2_mult,0)*rate_t3</f>
        <v/>
      </c>
      <c r="J43" s="3">
        <f>MAX(E43-D43*accel_mult,0)*rate_accel</f>
        <v/>
      </c>
      <c r="K43" s="2">
        <f>COUNTIFS(d_rep,A43,d_qtr,C43,d_newlogo,"Y")</f>
        <v/>
      </c>
      <c r="L43" s="3">
        <f>K43*spiff_amt</f>
        <v/>
      </c>
      <c r="M43" s="3">
        <f>G43+H43+I43+J43+L43</f>
        <v/>
      </c>
      <c r="N43" s="3">
        <f>qtr_draw</f>
        <v/>
      </c>
      <c r="O43" s="3">
        <f>MAX(M43,N43)</f>
        <v/>
      </c>
      <c r="P43" s="12">
        <f>IF(D43=0,0,O43/D43)</f>
        <v/>
      </c>
      <c r="Q43" s="2">
        <f>IF(F43&gt;=1.5,"≥150%",IF(F43&gt;=1.25,"125-149%",IF(F43&gt;=1,"100-124%",IF(F43&gt;=0.8,"80-99%","&lt;80%"))))</f>
        <v/>
      </c>
    </row>
    <row r="44">
      <c r="A44" s="2" t="inlineStr">
        <is>
          <t>James Park</t>
        </is>
      </c>
      <c r="B44" s="2" t="inlineStr">
        <is>
          <t>South</t>
        </is>
      </c>
      <c r="C44" s="2" t="inlineStr">
        <is>
          <t>Q3</t>
        </is>
      </c>
      <c r="D44" s="3" t="n">
        <v>275000</v>
      </c>
      <c r="E44" s="3">
        <f>SUMIFS(d_size,d_rep,A44,d_qtr,C44)</f>
        <v/>
      </c>
      <c r="F44" s="12">
        <f>IF(D44=0,0,E44/D44)</f>
        <v/>
      </c>
      <c r="G44" s="3">
        <f>MIN(E44,D44)*rate_t1</f>
        <v/>
      </c>
      <c r="H44" s="3">
        <f>MAX(MIN(E44,D44*t2_mult)-D44,0)*rate_t2</f>
        <v/>
      </c>
      <c r="I44" s="3">
        <f>MAX(E44-D44*t2_mult,0)*rate_t3</f>
        <v/>
      </c>
      <c r="J44" s="3">
        <f>MAX(E44-D44*accel_mult,0)*rate_accel</f>
        <v/>
      </c>
      <c r="K44" s="2">
        <f>COUNTIFS(d_rep,A44,d_qtr,C44,d_newlogo,"Y")</f>
        <v/>
      </c>
      <c r="L44" s="3">
        <f>K44*spiff_amt</f>
        <v/>
      </c>
      <c r="M44" s="3">
        <f>G44+H44+I44+J44+L44</f>
        <v/>
      </c>
      <c r="N44" s="3">
        <f>qtr_draw</f>
        <v/>
      </c>
      <c r="O44" s="3">
        <f>MAX(M44,N44)</f>
        <v/>
      </c>
      <c r="P44" s="12">
        <f>IF(D44=0,0,O44/D44)</f>
        <v/>
      </c>
      <c r="Q44" s="2">
        <f>IF(F44&gt;=1.5,"≥150%",IF(F44&gt;=1.25,"125-149%",IF(F44&gt;=1,"100-124%",IF(F44&gt;=0.8,"80-99%","&lt;80%"))))</f>
        <v/>
      </c>
    </row>
    <row r="45">
      <c r="A45" s="2" t="inlineStr">
        <is>
          <t>James Park</t>
        </is>
      </c>
      <c r="B45" s="2" t="inlineStr">
        <is>
          <t>South</t>
        </is>
      </c>
      <c r="C45" s="2" t="inlineStr">
        <is>
          <t>Q4</t>
        </is>
      </c>
      <c r="D45" s="3" t="n">
        <v>275000</v>
      </c>
      <c r="E45" s="3">
        <f>SUMIFS(d_size,d_rep,A45,d_qtr,C45)</f>
        <v/>
      </c>
      <c r="F45" s="12">
        <f>IF(D45=0,0,E45/D45)</f>
        <v/>
      </c>
      <c r="G45" s="3">
        <f>MIN(E45,D45)*rate_t1</f>
        <v/>
      </c>
      <c r="H45" s="3">
        <f>MAX(MIN(E45,D45*t2_mult)-D45,0)*rate_t2</f>
        <v/>
      </c>
      <c r="I45" s="3">
        <f>MAX(E45-D45*t2_mult,0)*rate_t3</f>
        <v/>
      </c>
      <c r="J45" s="3">
        <f>MAX(E45-D45*accel_mult,0)*rate_accel</f>
        <v/>
      </c>
      <c r="K45" s="2">
        <f>COUNTIFS(d_rep,A45,d_qtr,C45,d_newlogo,"Y")</f>
        <v/>
      </c>
      <c r="L45" s="3">
        <f>K45*spiff_amt</f>
        <v/>
      </c>
      <c r="M45" s="3">
        <f>G45+H45+I45+J45+L45</f>
        <v/>
      </c>
      <c r="N45" s="3">
        <f>qtr_draw</f>
        <v/>
      </c>
      <c r="O45" s="3">
        <f>MAX(M45,N45)</f>
        <v/>
      </c>
      <c r="P45" s="12">
        <f>IF(D45=0,0,O45/D45)</f>
        <v/>
      </c>
      <c r="Q45" s="2">
        <f>IF(F45&gt;=1.5,"≥150%",IF(F45&gt;=1.25,"125-149%",IF(F45&gt;=1,"100-124%",IF(F45&gt;=0.8,"80-99%","&lt;80%"))))</f>
        <v/>
      </c>
    </row>
    <row r="46">
      <c r="A46" s="2" t="inlineStr">
        <is>
          <t>Nina Petrova</t>
        </is>
      </c>
      <c r="B46" s="2" t="inlineStr">
        <is>
          <t>South</t>
        </is>
      </c>
      <c r="C46" s="2" t="inlineStr">
        <is>
          <t>Q1</t>
        </is>
      </c>
      <c r="D46" s="3" t="n">
        <v>250000</v>
      </c>
      <c r="E46" s="3">
        <f>SUMIFS(d_size,d_rep,A46,d_qtr,C46)</f>
        <v/>
      </c>
      <c r="F46" s="12">
        <f>IF(D46=0,0,E46/D46)</f>
        <v/>
      </c>
      <c r="G46" s="3">
        <f>MIN(E46,D46)*rate_t1</f>
        <v/>
      </c>
      <c r="H46" s="3">
        <f>MAX(MIN(E46,D46*t2_mult)-D46,0)*rate_t2</f>
        <v/>
      </c>
      <c r="I46" s="3">
        <f>MAX(E46-D46*t2_mult,0)*rate_t3</f>
        <v/>
      </c>
      <c r="J46" s="3">
        <f>MAX(E46-D46*accel_mult,0)*rate_accel</f>
        <v/>
      </c>
      <c r="K46" s="2">
        <f>COUNTIFS(d_rep,A46,d_qtr,C46,d_newlogo,"Y")</f>
        <v/>
      </c>
      <c r="L46" s="3">
        <f>K46*spiff_amt</f>
        <v/>
      </c>
      <c r="M46" s="3">
        <f>G46+H46+I46+J46+L46</f>
        <v/>
      </c>
      <c r="N46" s="3">
        <f>qtr_draw</f>
        <v/>
      </c>
      <c r="O46" s="3">
        <f>MAX(M46,N46)</f>
        <v/>
      </c>
      <c r="P46" s="12">
        <f>IF(D46=0,0,O46/D46)</f>
        <v/>
      </c>
      <c r="Q46" s="2">
        <f>IF(F46&gt;=1.5,"≥150%",IF(F46&gt;=1.25,"125-149%",IF(F46&gt;=1,"100-124%",IF(F46&gt;=0.8,"80-99%","&lt;80%"))))</f>
        <v/>
      </c>
    </row>
    <row r="47">
      <c r="A47" s="2" t="inlineStr">
        <is>
          <t>Nina Petrova</t>
        </is>
      </c>
      <c r="B47" s="2" t="inlineStr">
        <is>
          <t>South</t>
        </is>
      </c>
      <c r="C47" s="2" t="inlineStr">
        <is>
          <t>Q2</t>
        </is>
      </c>
      <c r="D47" s="3" t="n">
        <v>250000</v>
      </c>
      <c r="E47" s="3">
        <f>SUMIFS(d_size,d_rep,A47,d_qtr,C47)</f>
        <v/>
      </c>
      <c r="F47" s="12">
        <f>IF(D47=0,0,E47/D47)</f>
        <v/>
      </c>
      <c r="G47" s="3">
        <f>MIN(E47,D47)*rate_t1</f>
        <v/>
      </c>
      <c r="H47" s="3">
        <f>MAX(MIN(E47,D47*t2_mult)-D47,0)*rate_t2</f>
        <v/>
      </c>
      <c r="I47" s="3">
        <f>MAX(E47-D47*t2_mult,0)*rate_t3</f>
        <v/>
      </c>
      <c r="J47" s="3">
        <f>MAX(E47-D47*accel_mult,0)*rate_accel</f>
        <v/>
      </c>
      <c r="K47" s="2">
        <f>COUNTIFS(d_rep,A47,d_qtr,C47,d_newlogo,"Y")</f>
        <v/>
      </c>
      <c r="L47" s="3">
        <f>K47*spiff_amt</f>
        <v/>
      </c>
      <c r="M47" s="3">
        <f>G47+H47+I47+J47+L47</f>
        <v/>
      </c>
      <c r="N47" s="3">
        <f>qtr_draw</f>
        <v/>
      </c>
      <c r="O47" s="3">
        <f>MAX(M47,N47)</f>
        <v/>
      </c>
      <c r="P47" s="12">
        <f>IF(D47=0,0,O47/D47)</f>
        <v/>
      </c>
      <c r="Q47" s="2">
        <f>IF(F47&gt;=1.5,"≥150%",IF(F47&gt;=1.25,"125-149%",IF(F47&gt;=1,"100-124%",IF(F47&gt;=0.8,"80-99%","&lt;80%"))))</f>
        <v/>
      </c>
    </row>
    <row r="48">
      <c r="A48" s="2" t="inlineStr">
        <is>
          <t>Nina Petrova</t>
        </is>
      </c>
      <c r="B48" s="2" t="inlineStr">
        <is>
          <t>South</t>
        </is>
      </c>
      <c r="C48" s="2" t="inlineStr">
        <is>
          <t>Q3</t>
        </is>
      </c>
      <c r="D48" s="3" t="n">
        <v>250000</v>
      </c>
      <c r="E48" s="3">
        <f>SUMIFS(d_size,d_rep,A48,d_qtr,C48)</f>
        <v/>
      </c>
      <c r="F48" s="12">
        <f>IF(D48=0,0,E48/D48)</f>
        <v/>
      </c>
      <c r="G48" s="3">
        <f>MIN(E48,D48)*rate_t1</f>
        <v/>
      </c>
      <c r="H48" s="3">
        <f>MAX(MIN(E48,D48*t2_mult)-D48,0)*rate_t2</f>
        <v/>
      </c>
      <c r="I48" s="3">
        <f>MAX(E48-D48*t2_mult,0)*rate_t3</f>
        <v/>
      </c>
      <c r="J48" s="3">
        <f>MAX(E48-D48*accel_mult,0)*rate_accel</f>
        <v/>
      </c>
      <c r="K48" s="2">
        <f>COUNTIFS(d_rep,A48,d_qtr,C48,d_newlogo,"Y")</f>
        <v/>
      </c>
      <c r="L48" s="3">
        <f>K48*spiff_amt</f>
        <v/>
      </c>
      <c r="M48" s="3">
        <f>G48+H48+I48+J48+L48</f>
        <v/>
      </c>
      <c r="N48" s="3">
        <f>qtr_draw</f>
        <v/>
      </c>
      <c r="O48" s="3">
        <f>MAX(M48,N48)</f>
        <v/>
      </c>
      <c r="P48" s="12">
        <f>IF(D48=0,0,O48/D48)</f>
        <v/>
      </c>
      <c r="Q48" s="2">
        <f>IF(F48&gt;=1.5,"≥150%",IF(F48&gt;=1.25,"125-149%",IF(F48&gt;=1,"100-124%",IF(F48&gt;=0.8,"80-99%","&lt;80%"))))</f>
        <v/>
      </c>
    </row>
    <row r="49">
      <c r="A49" s="2" t="inlineStr">
        <is>
          <t>Nina Petrova</t>
        </is>
      </c>
      <c r="B49" s="2" t="inlineStr">
        <is>
          <t>South</t>
        </is>
      </c>
      <c r="C49" s="2" t="inlineStr">
        <is>
          <t>Q4</t>
        </is>
      </c>
      <c r="D49" s="3" t="n">
        <v>250000</v>
      </c>
      <c r="E49" s="3">
        <f>SUMIFS(d_size,d_rep,A49,d_qtr,C49)</f>
        <v/>
      </c>
      <c r="F49" s="12">
        <f>IF(D49=0,0,E49/D49)</f>
        <v/>
      </c>
      <c r="G49" s="3">
        <f>MIN(E49,D49)*rate_t1</f>
        <v/>
      </c>
      <c r="H49" s="3">
        <f>MAX(MIN(E49,D49*t2_mult)-D49,0)*rate_t2</f>
        <v/>
      </c>
      <c r="I49" s="3">
        <f>MAX(E49-D49*t2_mult,0)*rate_t3</f>
        <v/>
      </c>
      <c r="J49" s="3">
        <f>MAX(E49-D49*accel_mult,0)*rate_accel</f>
        <v/>
      </c>
      <c r="K49" s="2">
        <f>COUNTIFS(d_rep,A49,d_qtr,C49,d_newlogo,"Y")</f>
        <v/>
      </c>
      <c r="L49" s="3">
        <f>K49*spiff_amt</f>
        <v/>
      </c>
      <c r="M49" s="3">
        <f>G49+H49+I49+J49+L49</f>
        <v/>
      </c>
      <c r="N49" s="3">
        <f>qtr_draw</f>
        <v/>
      </c>
      <c r="O49" s="3">
        <f>MAX(M49,N49)</f>
        <v/>
      </c>
      <c r="P49" s="12">
        <f>IF(D49=0,0,O49/D49)</f>
        <v/>
      </c>
      <c r="Q49" s="2">
        <f>IF(F49&gt;=1.5,"≥150%",IF(F49&gt;=1.25,"125-149%",IF(F49&gt;=1,"100-124%",IF(F49&gt;=0.8,"80-99%","&lt;80%"))))</f>
        <v/>
      </c>
    </row>
  </sheetData>
  <autoFilter ref="A1:Q49"/>
  <conditionalFormatting sqref="F2:F49">
    <cfRule type="cellIs" priority="1" operator="greaterThanOrEqual" dxfId="0">
      <formula>1</formula>
    </cfRule>
    <cfRule type="cellIs" priority="2" operator="between" dxfId="1">
      <formula>0.8</formula>
      <formula>1</formula>
    </cfRule>
    <cfRule type="cellIs" priority="3" operator="lessThan" dxfId="2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4" t="inlineStr">
        <is>
          <t>Sales Commission Dashboard — FY2025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s="6" t="inlineStr">
        <is>
          <t>Total deals closed</t>
        </is>
      </c>
      <c r="B3" s="13">
        <f>COUNT(d_size)</f>
        <v/>
      </c>
    </row>
    <row r="4">
      <c r="A4" s="6" t="inlineStr">
        <is>
          <t>Total revenue</t>
        </is>
      </c>
      <c r="B4" s="10">
        <f>SUM(d_size)</f>
        <v/>
      </c>
    </row>
    <row r="5">
      <c r="A5" s="6" t="inlineStr">
        <is>
          <t>Total commission earned (pre-draw)</t>
        </is>
      </c>
      <c r="B5" s="10">
        <f>SUM(rs_comm)</f>
        <v/>
      </c>
    </row>
    <row r="6">
      <c r="A6" s="6" t="inlineStr">
        <is>
          <t>Total payout (after draw guarantee)</t>
        </is>
      </c>
      <c r="B6" s="10">
        <f>SUM(rs_payout)</f>
        <v/>
      </c>
    </row>
    <row r="7">
      <c r="A7" s="6" t="inlineStr">
        <is>
          <t>Payout as % of revenue</t>
        </is>
      </c>
      <c r="B7" s="14">
        <f>B6/B4</f>
        <v/>
      </c>
    </row>
    <row r="8">
      <c r="A8" s="6" t="inlineStr">
        <is>
          <t>Average attainment (48 rep-quarters)</t>
        </is>
      </c>
      <c r="B8" s="14">
        <f>AVERAGE(rs_att)</f>
        <v/>
      </c>
    </row>
    <row r="9">
      <c r="A9" s="6" t="inlineStr">
        <is>
          <t>New-logo spiffs paid</t>
        </is>
      </c>
      <c r="B9" s="10">
        <f>SUM(rs_spiff)</f>
        <v/>
      </c>
    </row>
    <row r="10">
      <c r="A10" s="6" t="inlineStr">
        <is>
          <t>Rep-quarters paid at draw (commission &lt; $9k)</t>
        </is>
      </c>
      <c r="B10" s="13">
        <f>SUMPRODUCT(--(rs_comm&lt;qtr_draw))</f>
        <v/>
      </c>
    </row>
    <row r="11">
      <c r="A11" s="6" t="inlineStr">
        <is>
          <t>Top single-quarter earner</t>
        </is>
      </c>
      <c r="B11" s="6">
        <f>INDEX(rs_rep,MATCH(MAX(rs_payout),rs_payout,0))</f>
        <v/>
      </c>
    </row>
    <row r="12">
      <c r="A12" s="6" t="inlineStr">
        <is>
          <t>Top single-quarter payout</t>
        </is>
      </c>
      <c r="B12" s="10">
        <f>MAX(rs_payout)</f>
        <v/>
      </c>
    </row>
    <row r="15">
      <c r="A15" s="11" t="inlineStr">
        <is>
          <t>Annual payout by rep</t>
        </is>
      </c>
    </row>
    <row r="16">
      <c r="A16" s="1" t="inlineStr">
        <is>
          <t>Rep</t>
        </is>
      </c>
      <c r="B16" s="1" t="inlineStr">
        <is>
          <t>Annual payout</t>
        </is>
      </c>
    </row>
    <row r="17">
      <c r="A17" s="6" t="inlineStr">
        <is>
          <t>Marcus Webb</t>
        </is>
      </c>
      <c r="B17" s="10">
        <f>SUMIFS(rs_payout,rs_rep,A17)</f>
        <v/>
      </c>
    </row>
    <row r="18">
      <c r="A18" s="6" t="inlineStr">
        <is>
          <t>Priya Raman</t>
        </is>
      </c>
      <c r="B18" s="10">
        <f>SUMIFS(rs_payout,rs_rep,A18)</f>
        <v/>
      </c>
    </row>
    <row r="19">
      <c r="A19" s="6" t="inlineStr">
        <is>
          <t>Jordan Ellis</t>
        </is>
      </c>
      <c r="B19" s="10">
        <f>SUMIFS(rs_payout,rs_rep,A19)</f>
        <v/>
      </c>
    </row>
    <row r="20">
      <c r="A20" s="6" t="inlineStr">
        <is>
          <t>Sofia Delgado</t>
        </is>
      </c>
      <c r="B20" s="10">
        <f>SUMIFS(rs_payout,rs_rep,A20)</f>
        <v/>
      </c>
    </row>
    <row r="21">
      <c r="A21" s="6" t="inlineStr">
        <is>
          <t>Tyler Brooks</t>
        </is>
      </c>
      <c r="B21" s="10">
        <f>SUMIFS(rs_payout,rs_rep,A21)</f>
        <v/>
      </c>
    </row>
    <row r="22">
      <c r="A22" s="6" t="inlineStr">
        <is>
          <t>Aisha Khan</t>
        </is>
      </c>
      <c r="B22" s="10">
        <f>SUMIFS(rs_payout,rs_rep,A22)</f>
        <v/>
      </c>
    </row>
    <row r="23">
      <c r="A23" s="6" t="inlineStr">
        <is>
          <t>Daniel Okafor</t>
        </is>
      </c>
      <c r="B23" s="10">
        <f>SUMIFS(rs_payout,rs_rep,A23)</f>
        <v/>
      </c>
    </row>
    <row r="24">
      <c r="A24" s="6" t="inlineStr">
        <is>
          <t>Lena Fischer</t>
        </is>
      </c>
      <c r="B24" s="10">
        <f>SUMIFS(rs_payout,rs_rep,A24)</f>
        <v/>
      </c>
    </row>
    <row r="25">
      <c r="A25" s="6" t="inlineStr">
        <is>
          <t>Chris Novak</t>
        </is>
      </c>
      <c r="B25" s="10">
        <f>SUMIFS(rs_payout,rs_rep,A25)</f>
        <v/>
      </c>
    </row>
    <row r="26">
      <c r="A26" s="6" t="inlineStr">
        <is>
          <t>Maria Santos</t>
        </is>
      </c>
      <c r="B26" s="10">
        <f>SUMIFS(rs_payout,rs_rep,A26)</f>
        <v/>
      </c>
    </row>
    <row r="27">
      <c r="A27" s="6" t="inlineStr">
        <is>
          <t>James Park</t>
        </is>
      </c>
      <c r="B27" s="10">
        <f>SUMIFS(rs_payout,rs_rep,A27)</f>
        <v/>
      </c>
    </row>
    <row r="28">
      <c r="A28" s="6" t="inlineStr">
        <is>
          <t>Nina Petrova</t>
        </is>
      </c>
      <c r="B28" s="10">
        <f>SUMIFS(rs_payout,rs_rep,A28)</f>
        <v/>
      </c>
    </row>
    <row r="29">
      <c r="A29" s="15" t="inlineStr">
        <is>
          <t>Highest annual earner</t>
        </is>
      </c>
      <c r="B29">
        <f>INDEX(A17:A28,MATCH(MAX(B17:B28),B17:B28,0))</f>
        <v/>
      </c>
    </row>
    <row r="30">
      <c r="A30" s="15" t="inlineStr">
        <is>
          <t>Highest annual payout</t>
        </is>
      </c>
      <c r="B30" s="16">
        <f>MAX(B17:B28)</f>
        <v/>
      </c>
    </row>
    <row r="32">
      <c r="A32" s="11" t="inlineStr">
        <is>
          <t>Attainment distribution (48 rep-quarters)</t>
        </is>
      </c>
    </row>
    <row r="33">
      <c r="A33" s="1" t="inlineStr">
        <is>
          <t>Band</t>
        </is>
      </c>
      <c r="B33" s="1" t="inlineStr">
        <is>
          <t>Rep-quarters</t>
        </is>
      </c>
    </row>
    <row r="34">
      <c r="A34" s="6" t="inlineStr">
        <is>
          <t>&lt;80%</t>
        </is>
      </c>
      <c r="B34" s="13">
        <f>COUNTIF(rs_band,"&lt;80%")</f>
        <v/>
      </c>
    </row>
    <row r="35">
      <c r="A35" s="6" t="inlineStr">
        <is>
          <t>80-99%</t>
        </is>
      </c>
      <c r="B35" s="13">
        <f>COUNTIF(rs_band,"80-99%")</f>
        <v/>
      </c>
    </row>
    <row r="36">
      <c r="A36" s="6" t="inlineStr">
        <is>
          <t>100-124%</t>
        </is>
      </c>
      <c r="B36" s="13">
        <f>COUNTIF(rs_band,"100-124%")</f>
        <v/>
      </c>
    </row>
    <row r="37">
      <c r="A37" s="6" t="inlineStr">
        <is>
          <t>125-149%</t>
        </is>
      </c>
      <c r="B37" s="13">
        <f>COUNTIF(rs_band,"125-149%")</f>
        <v/>
      </c>
    </row>
    <row r="38">
      <c r="A38" s="6" t="inlineStr">
        <is>
          <t>≥150%</t>
        </is>
      </c>
      <c r="B38" s="13">
        <f>COUNTIF(rs_band,"≥150%")</f>
        <v/>
      </c>
    </row>
    <row r="40">
      <c r="A40" s="11" t="inlineStr">
        <is>
          <t>Payout by quarter</t>
        </is>
      </c>
    </row>
    <row r="41">
      <c r="A41" s="1" t="inlineStr">
        <is>
          <t>Quarter</t>
        </is>
      </c>
      <c r="B41" s="1" t="inlineStr">
        <is>
          <t>Total payout</t>
        </is>
      </c>
    </row>
    <row r="42">
      <c r="A42" s="6" t="inlineStr">
        <is>
          <t>Q1</t>
        </is>
      </c>
      <c r="B42" s="10">
        <f>SUMIFS(rs_payout,rs_qtr,"Q1")</f>
        <v/>
      </c>
    </row>
    <row r="43">
      <c r="A43" s="6" t="inlineStr">
        <is>
          <t>Q2</t>
        </is>
      </c>
      <c r="B43" s="10">
        <f>SUMIFS(rs_payout,rs_qtr,"Q2")</f>
        <v/>
      </c>
    </row>
    <row r="44">
      <c r="A44" s="6" t="inlineStr">
        <is>
          <t>Q3</t>
        </is>
      </c>
      <c r="B44" s="10">
        <f>SUMIFS(rs_payout,rs_qtr,"Q3")</f>
        <v/>
      </c>
    </row>
    <row r="45">
      <c r="A45" s="6" t="inlineStr">
        <is>
          <t>Q4</t>
        </is>
      </c>
      <c r="B45" s="10">
        <f>SUMIFS(rs_payout,rs_qtr,"Q4")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2026-09-25T19:28:27Z</dcterms:created>
  <dcterms:modified xsi:type="dcterms:W3CDTF">2026-09-25T19:28:28Z</dcterms:modified>
</cp:coreProperties>
</file>